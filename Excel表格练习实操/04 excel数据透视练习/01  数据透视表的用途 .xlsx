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hidePivotFieldList="1"/>
  <xr:revisionPtr revIDLastSave="0" documentId="13_ncr:1_{42C4632D-E842-4305-88DC-5A320DA7044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成绩表" sheetId="1" r:id="rId1"/>
    <sheet name="营业额表" sheetId="2" r:id="rId2"/>
    <sheet name="数据源规范" sheetId="3" r:id="rId3"/>
  </sheets>
  <definedNames>
    <definedName name="切片器_门店">#N/A</definedName>
    <definedName name="切片器_营业额">#N/A</definedName>
    <definedName name="切片器_月份">#N/A</definedName>
  </definedNames>
  <calcPr calcId="191029"/>
  <pivotCaches>
    <pivotCache cacheId="1" r:id="rId4"/>
    <pivotCache cacheId="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C27" i="3"/>
  <c r="C40" i="3"/>
</calcChain>
</file>

<file path=xl/sharedStrings.xml><?xml version="1.0" encoding="utf-8"?>
<sst xmlns="http://schemas.openxmlformats.org/spreadsheetml/2006/main" count="331" uniqueCount="143">
  <si>
    <t>班级</t>
    <phoneticPr fontId="1" type="noConversion"/>
  </si>
  <si>
    <t>姓名</t>
    <phoneticPr fontId="1" type="noConversion"/>
  </si>
  <si>
    <t>成绩</t>
    <phoneticPr fontId="1" type="noConversion"/>
  </si>
  <si>
    <t>1班</t>
  </si>
  <si>
    <t>1班</t>
    <phoneticPr fontId="1" type="noConversion"/>
  </si>
  <si>
    <t>2班</t>
  </si>
  <si>
    <t>2班</t>
    <phoneticPr fontId="1" type="noConversion"/>
  </si>
  <si>
    <t>3班</t>
  </si>
  <si>
    <t>3班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</si>
  <si>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</si>
  <si>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</si>
  <si>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</si>
  <si>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</si>
  <si>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</si>
  <si>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</si>
  <si>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</si>
  <si>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</si>
  <si>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</si>
  <si>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</si>
  <si>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</si>
  <si>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</si>
  <si>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</si>
  <si>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</si>
  <si>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</si>
  <si>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</si>
  <si>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</si>
  <si>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</si>
  <si>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</si>
  <si>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</si>
  <si>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</si>
  <si>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</si>
  <si>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</si>
  <si>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</si>
  <si>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</si>
  <si>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</si>
  <si>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</si>
  <si>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</si>
  <si>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</si>
  <si>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</si>
  <si>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</si>
  <si>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</si>
  <si>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</si>
  <si>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</si>
  <si>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</si>
  <si>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</si>
  <si>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</si>
  <si>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</si>
  <si>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</si>
  <si>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</si>
  <si>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</si>
  <si>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</si>
  <si>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</si>
  <si>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</si>
  <si>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</si>
  <si>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</si>
  <si>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</si>
  <si>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</si>
  <si>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</si>
  <si>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</si>
  <si>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</si>
  <si>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</si>
  <si>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</si>
  <si>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</si>
  <si>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</si>
  <si>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</si>
  <si>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</si>
  <si>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</si>
  <si>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</si>
  <si>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</si>
  <si>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</si>
  <si>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</si>
  <si>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</si>
  <si>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</si>
  <si>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</si>
  <si>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</si>
  <si>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</si>
  <si>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</si>
  <si>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</si>
  <si>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</si>
  <si>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</si>
  <si>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</si>
  <si>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</si>
  <si>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</si>
  <si>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</si>
  <si>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</si>
  <si>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</si>
  <si>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</si>
  <si>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</si>
  <si>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</si>
  <si>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</si>
  <si>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</si>
  <si>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</si>
  <si>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</si>
  <si>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</si>
  <si>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</si>
  <si>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</si>
  <si>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</si>
  <si>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</si>
  <si>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</si>
  <si>
    <t>1.每个班的平均分</t>
    <phoneticPr fontId="1" type="noConversion"/>
  </si>
  <si>
    <t>2.每个班的最高分</t>
    <phoneticPr fontId="1" type="noConversion"/>
  </si>
  <si>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</si>
  <si>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</si>
  <si>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</si>
  <si>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</si>
  <si>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门店B</t>
    <phoneticPr fontId="1" type="noConversion"/>
  </si>
  <si>
    <t>门店C</t>
    <phoneticPr fontId="1" type="noConversion"/>
  </si>
  <si>
    <t>1.算出各门店1-12月的总营业额</t>
    <phoneticPr fontId="1" type="noConversion"/>
  </si>
  <si>
    <t>2.算出各门店的平均营业额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</si>
  <si>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</si>
  <si>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</si>
  <si>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</si>
  <si>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</si>
  <si>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</si>
  <si>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</si>
  <si>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</si>
  <si>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</si>
  <si>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</si>
  <si>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</si>
  <si>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</si>
  <si>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</si>
  <si>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4100</t>
    <phoneticPr fontId="1" type="noConversion"/>
  </si>
  <si>
    <t>小计</t>
    <phoneticPr fontId="1" type="noConversion"/>
  </si>
  <si>
    <t>8月</t>
    <phoneticPr fontId="1" type="noConversion"/>
  </si>
  <si>
    <t>行标签</t>
  </si>
  <si>
    <t>总计</t>
  </si>
  <si>
    <t>平均值项:成绩</t>
  </si>
  <si>
    <t>最大值项:成绩2</t>
  </si>
  <si>
    <t>门店C</t>
  </si>
  <si>
    <t>求和项:营业额</t>
  </si>
  <si>
    <t>平均值项:营业额2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</si>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</sst>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1" xfId="0" quotePrefix="1" applyBorder="1"/>
    <xf numFmtId="0" fontId="0" fillId="0" borderId="3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常规" xfId="0" builtinId="0"/>
  </cellStyles>
  <dxfs count="18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349A24A4-E6BD-4D0F-A2CE-737B4599CE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  数据透视表的用途 .xlsx]营业额表!数据透视表3</c:name>
    <c:fmtId val="0"/>
  </c:pivotSource>
  <c:chart>
    <c:autoTitleDeleted val="0"/>
    <c:pivotFmts>
      <c:pivotFmt>
        <c:idx val="0"/>
        <c:spPr>
          <a:ln w="28575" cap="rnd">
            <a:gradFill>
              <a:gsLst>
                <a:gs pos="0">
                  <a:srgbClr val="00B050"/>
                </a:gs>
                <a:gs pos="100000">
                  <a:srgbClr val="7030A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gradFill>
              <a:gsLst>
                <a:gs pos="0">
                  <a:schemeClr val="accent2"/>
                </a:gs>
                <a:gs pos="100000">
                  <a:schemeClr val="accent1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营业额表!$I$1</c:f>
              <c:strCache>
                <c:ptCount val="1"/>
                <c:pt idx="0">
                  <c:v>求和项:营业额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00B050"/>
                  </a:gs>
                  <a:gs pos="100000">
                    <a:srgbClr val="7030A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multiLvlStrRef>
              <c:f>营业额表!$H$2:$H$15</c:f>
              <c:multiLvlStrCache>
                <c:ptCount val="12"/>
                <c:lvl>
                  <c:pt idx="0">
                    <c:v>一月</c:v>
                  </c:pt>
                  <c:pt idx="1">
                    <c:v>二月</c:v>
                  </c:pt>
                  <c:pt idx="2">
                    <c:v>三月</c:v>
                  </c:pt>
                  <c:pt idx="3">
                    <c:v>四月</c:v>
                  </c:pt>
                  <c:pt idx="4">
                    <c:v>五月</c:v>
                  </c:pt>
                  <c:pt idx="5">
                    <c:v>六月</c:v>
                  </c:pt>
                  <c:pt idx="6">
                    <c:v>七月</c:v>
                  </c:pt>
                  <c:pt idx="7">
                    <c:v>八月</c:v>
                  </c:pt>
                  <c:pt idx="8">
                    <c:v>九月</c:v>
                  </c:pt>
                  <c:pt idx="9">
                    <c:v>十月</c:v>
                  </c:pt>
                  <c:pt idx="10">
                    <c:v>十一月</c:v>
                  </c:pt>
                  <c:pt idx="11">
                    <c:v>十二月</c:v>
                  </c:pt>
                </c:lvl>
                <c:lvl>
                  <c:pt idx="0">
                    <c:v>门店C</c:v>
                  </c:pt>
                </c:lvl>
              </c:multiLvlStrCache>
            </c:multiLvlStrRef>
          </c:cat>
          <c:val>
            <c:numRef>
              <c:f>营业额表!$I$2:$I$15</c:f>
              <c:numCache>
                <c:formatCode>General</c:formatCode>
                <c:ptCount val="12"/>
                <c:pt idx="0">
                  <c:v>3747</c:v>
                </c:pt>
                <c:pt idx="1">
                  <c:v>4009</c:v>
                </c:pt>
                <c:pt idx="2">
                  <c:v>1751</c:v>
                </c:pt>
                <c:pt idx="3">
                  <c:v>2687</c:v>
                </c:pt>
                <c:pt idx="4">
                  <c:v>4140</c:v>
                </c:pt>
                <c:pt idx="5">
                  <c:v>2747</c:v>
                </c:pt>
                <c:pt idx="6">
                  <c:v>2778</c:v>
                </c:pt>
                <c:pt idx="7">
                  <c:v>4876</c:v>
                </c:pt>
                <c:pt idx="8">
                  <c:v>2764</c:v>
                </c:pt>
                <c:pt idx="9">
                  <c:v>4310</c:v>
                </c:pt>
                <c:pt idx="10">
                  <c:v>2789</c:v>
                </c:pt>
                <c:pt idx="11">
                  <c:v>3756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A8-46A2-9554-02BFF9CCB5C8}"/>
            </c:ext>
          </c:extLst>
        </c:ser>
        <c:ser>
          <c:idx val="1"/>
          <c:order val="1"/>
          <c:tx>
            <c:strRef>
              <c:f>营业额表!$J$1</c:f>
              <c:strCache>
                <c:ptCount val="1"/>
                <c:pt idx="0">
                  <c:v>平均值项:营业额2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/>
                  </a:gs>
                  <a:gs pos="100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multiLvlStrRef>
              <c:f>营业额表!$H$2:$H$15</c:f>
              <c:multiLvlStrCache>
                <c:ptCount val="12"/>
                <c:lvl>
                  <c:pt idx="0">
                    <c:v>一月</c:v>
                  </c:pt>
                  <c:pt idx="1">
                    <c:v>二月</c:v>
                  </c:pt>
                  <c:pt idx="2">
                    <c:v>三月</c:v>
                  </c:pt>
                  <c:pt idx="3">
                    <c:v>四月</c:v>
                  </c:pt>
                  <c:pt idx="4">
                    <c:v>五月</c:v>
                  </c:pt>
                  <c:pt idx="5">
                    <c:v>六月</c:v>
                  </c:pt>
                  <c:pt idx="6">
                    <c:v>七月</c:v>
                  </c:pt>
                  <c:pt idx="7">
                    <c:v>八月</c:v>
                  </c:pt>
                  <c:pt idx="8">
                    <c:v>九月</c:v>
                  </c:pt>
                  <c:pt idx="9">
                    <c:v>十月</c:v>
                  </c:pt>
                  <c:pt idx="10">
                    <c:v>十一月</c:v>
                  </c:pt>
                  <c:pt idx="11">
                    <c:v>十二月</c:v>
                  </c:pt>
                </c:lvl>
                <c:lvl>
                  <c:pt idx="0">
                    <c:v>门店C</c:v>
                  </c:pt>
                </c:lvl>
              </c:multiLvlStrCache>
            </c:multiLvlStrRef>
          </c:cat>
          <c:val>
            <c:numRef>
              <c:f>营业额表!$J$2:$J$15</c:f>
              <c:numCache>
                <c:formatCode>General</c:formatCode>
                <c:ptCount val="12"/>
                <c:pt idx="0">
                  <c:v>3747</c:v>
                </c:pt>
                <c:pt idx="1">
                  <c:v>4009</c:v>
                </c:pt>
                <c:pt idx="2">
                  <c:v>1751</c:v>
                </c:pt>
                <c:pt idx="3">
                  <c:v>2687</c:v>
                </c:pt>
                <c:pt idx="4">
                  <c:v>4140</c:v>
                </c:pt>
                <c:pt idx="5">
                  <c:v>2747</c:v>
                </c:pt>
                <c:pt idx="6">
                  <c:v>2778</c:v>
                </c:pt>
                <c:pt idx="7">
                  <c:v>4876</c:v>
                </c:pt>
                <c:pt idx="8">
                  <c:v>2764</c:v>
                </c:pt>
                <c:pt idx="9">
                  <c:v>4310</c:v>
                </c:pt>
                <c:pt idx="10">
                  <c:v>2789</c:v>
                </c:pt>
                <c:pt idx="11">
                  <c:v>3756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A8-46A2-9554-02BFF9CCB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568479"/>
        <c:axId val="1219566559"/>
      </c:lineChart>
      <c:catAx>
        <c:axId val="121956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9566559"/>
        <c:crosses val="autoZero"/>
        <c:auto val="1"/>
        <c:lblAlgn val="ctr"/>
        <c:lblOffset val="100"/>
        <c:noMultiLvlLbl val="0"/>
      </c:catAx>
      <c:valAx>
        <c:axId val="121956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956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chemeClr val="tx1"/>
      </a:solidFill>
      <a:round/>
    </a:ln>
    <a:effectLst>
      <a:outerShdw blurRad="50800" dist="38100" dir="2700000" algn="tl" rotWithShape="0">
        <a:schemeClr val="tx1">
          <a:alpha val="40000"/>
        </a:schemeClr>
      </a:outerShdw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2</xdr:row>
      <xdr:rowOff>30480</xdr:rowOff>
    </xdr:from>
    <xdr:to>
      <xdr:col>6</xdr:col>
      <xdr:colOff>320040</xdr:colOff>
      <xdr:row>14</xdr:row>
      <xdr:rowOff>165735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门店">
              <a:extLst>
                <a:ext uri="{FF2B5EF4-FFF2-40B4-BE49-F238E27FC236}">
                  <a16:creationId xmlns:a16="http://schemas.microsoft.com/office/drawing/2014/main" id="{ADA2865A-78B2-8EC9-55C3-F85E03114D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740" y="3810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388620</xdr:colOff>
      <xdr:row>0</xdr:row>
      <xdr:rowOff>7620</xdr:rowOff>
    </xdr:from>
    <xdr:to>
      <xdr:col>15</xdr:col>
      <xdr:colOff>419100</xdr:colOff>
      <xdr:row>20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月份">
              <a:extLst>
                <a:ext uri="{FF2B5EF4-FFF2-40B4-BE49-F238E27FC236}">
                  <a16:creationId xmlns:a16="http://schemas.microsoft.com/office/drawing/2014/main" id="{95BA6A71-03F4-DE5A-49C2-41E5368F6E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7620"/>
              <a:ext cx="1828800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426720</xdr:colOff>
      <xdr:row>0</xdr:row>
      <xdr:rowOff>0</xdr:rowOff>
    </xdr:from>
    <xdr:to>
      <xdr:col>19</xdr:col>
      <xdr:colOff>350520</xdr:colOff>
      <xdr:row>23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营业额">
              <a:extLst>
                <a:ext uri="{FF2B5EF4-FFF2-40B4-BE49-F238E27FC236}">
                  <a16:creationId xmlns:a16="http://schemas.microsoft.com/office/drawing/2014/main" id="{E17061E1-EBFA-7D05-C970-235CD75E3E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营业额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4120" y="0"/>
              <a:ext cx="182880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4</xdr:col>
      <xdr:colOff>670560</xdr:colOff>
      <xdr:row>16</xdr:row>
      <xdr:rowOff>167640</xdr:rowOff>
    </xdr:from>
    <xdr:to>
      <xdr:col>14</xdr:col>
      <xdr:colOff>358140</xdr:colOff>
      <xdr:row>34</xdr:row>
      <xdr:rowOff>68580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7F17CC-37C6-D42E-8266-3555E3B78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592.918854398151" createdVersion="8" refreshedVersion="8" minRefreshableVersion="3" recordCount="90" xr:uid="{D65522AA-17CE-47D9-895C-8E0949738D7D}">
  <cacheSource type="worksheet">
    <worksheetSource ref="A1:C91" sheet="成绩表"/>
  </cacheSource>
  <cacheFields count="3">
    <cacheField name="班级" numFmtId="0">
      <sharedItems count="3">
        <s v="1班"/>
        <s v="2班"/>
        <s v="3班"/>
      </sharedItems>
    </cacheField>
    <cacheField name="姓名" numFmtId="0">
      <sharedItems/>
    </cacheField>
    <cacheField name="成绩" numFmtId="0">
      <sharedItems containsSemiMixedTypes="0" containsString="0" containsNumber="1" containsInteger="1" minValue="45" maxValue="100" count="45">
        <n v="86"/>
        <n v="99"/>
        <n v="56"/>
        <n v="83"/>
        <n v="96"/>
        <n v="76"/>
        <n v="64"/>
        <n v="85"/>
        <n v="77"/>
        <n v="74"/>
        <n v="92"/>
        <n v="54"/>
        <n v="61"/>
        <n v="49"/>
        <n v="69"/>
        <n v="82"/>
        <n v="88"/>
        <n v="100"/>
        <n v="46"/>
        <n v="50"/>
        <n v="62"/>
        <n v="70"/>
        <n v="91"/>
        <n v="63"/>
        <n v="95"/>
        <n v="80"/>
        <n v="71"/>
        <n v="66"/>
        <n v="73"/>
        <n v="98"/>
        <n v="75"/>
        <n v="97"/>
        <n v="57"/>
        <n v="59"/>
        <n v="45"/>
        <n v="78"/>
        <n v="93"/>
        <n v="47"/>
        <n v="89"/>
        <n v="81"/>
        <n v="52"/>
        <n v="55"/>
        <n v="94"/>
        <n v="48"/>
        <n v="60"/>
      </sharedItems>
    </cacheField>
  </cacheFields>
  <extLst>
    <ext xmlns:x14="http://schemas.microsoft.com/office/spreadsheetml/2009/9/main" uri="{725AE2AE-9491-48be-B2B4-4EB974FC3084}">
      <x14:pivotCacheDefinition pivotCacheId="15515404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592.920098379633" createdVersion="8" refreshedVersion="8" minRefreshableVersion="3" recordCount="36" xr:uid="{024BC59A-5CE4-41F9-B4E5-DE4644A43913}">
  <cacheSource type="worksheet">
    <worksheetSource ref="A1:C37" sheet="营业额表"/>
  </cacheSource>
  <cacheFields count="3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营业额" numFmtId="0">
      <sharedItems containsSemiMixedTypes="0" containsString="0" containsNumber="1" containsInteger="1" minValue="1066" maxValue="4974" count="35">
        <n v="1498"/>
        <n v="1066"/>
        <n v="1633"/>
        <n v="3871"/>
        <n v="4100"/>
        <n v="2338"/>
        <n v="3592"/>
        <n v="1670"/>
        <n v="4671"/>
        <n v="3718"/>
        <n v="3183"/>
        <n v="4716"/>
        <n v="3083"/>
        <n v="2837"/>
        <n v="3756"/>
        <n v="2203"/>
        <n v="1994"/>
        <n v="4974"/>
        <n v="1729"/>
        <n v="4133"/>
        <n v="1660"/>
        <n v="2613"/>
        <n v="3899"/>
        <n v="1364"/>
        <n v="3747"/>
        <n v="4009"/>
        <n v="1751"/>
        <n v="2687"/>
        <n v="4140"/>
        <n v="2747"/>
        <n v="2778"/>
        <n v="4876"/>
        <n v="2764"/>
        <n v="4310"/>
        <n v="2789"/>
      </sharedItems>
    </cacheField>
  </cacheFields>
  <extLst>
    <ext xmlns:x14="http://schemas.microsoft.com/office/spreadsheetml/2009/9/main" uri="{725AE2AE-9491-48be-B2B4-4EB974FC3084}">
      <x14:pivotCacheDefinition pivotCacheId="7039706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曹玉凤"/>
    <x v="0"/>
  </r>
  <r>
    <x v="0"/>
    <s v="陈虹"/>
    <x v="1"/>
  </r>
  <r>
    <x v="0"/>
    <s v="严嘉"/>
    <x v="2"/>
  </r>
  <r>
    <x v="0"/>
    <s v="李大芬"/>
    <x v="3"/>
  </r>
  <r>
    <x v="0"/>
    <s v="康蓓"/>
    <x v="4"/>
  </r>
  <r>
    <x v="0"/>
    <s v="孔香秀"/>
    <x v="5"/>
  </r>
  <r>
    <x v="0"/>
    <s v="周南莲"/>
    <x v="6"/>
  </r>
  <r>
    <x v="0"/>
    <s v="金明露"/>
    <x v="7"/>
  </r>
  <r>
    <x v="0"/>
    <s v="孙翠花"/>
    <x v="8"/>
  </r>
  <r>
    <x v="0"/>
    <s v="秦灿灿"/>
    <x v="9"/>
  </r>
  <r>
    <x v="0"/>
    <s v="沈倩"/>
    <x v="10"/>
  </r>
  <r>
    <x v="0"/>
    <s v="朱秀娟"/>
    <x v="6"/>
  </r>
  <r>
    <x v="0"/>
    <s v="金昌菊"/>
    <x v="8"/>
  </r>
  <r>
    <x v="0"/>
    <s v="严绮菱"/>
    <x v="11"/>
  </r>
  <r>
    <x v="0"/>
    <s v="孔光琴"/>
    <x v="12"/>
  </r>
  <r>
    <x v="0"/>
    <s v="沈菁"/>
    <x v="13"/>
  </r>
  <r>
    <x v="0"/>
    <s v="卫妹妹"/>
    <x v="14"/>
  </r>
  <r>
    <x v="0"/>
    <s v="钱静雯"/>
    <x v="15"/>
  </r>
  <r>
    <x v="0"/>
    <s v="许银姣"/>
    <x v="16"/>
  </r>
  <r>
    <x v="0"/>
    <s v="蒋凌旋"/>
    <x v="17"/>
  </r>
  <r>
    <x v="0"/>
    <s v="孔莎"/>
    <x v="18"/>
  </r>
  <r>
    <x v="0"/>
    <s v="周嘎妹"/>
    <x v="12"/>
  </r>
  <r>
    <x v="0"/>
    <s v="施柔"/>
    <x v="18"/>
  </r>
  <r>
    <x v="0"/>
    <s v="许翠翠"/>
    <x v="19"/>
  </r>
  <r>
    <x v="0"/>
    <s v="尤眉"/>
    <x v="20"/>
  </r>
  <r>
    <x v="0"/>
    <s v="魏晶"/>
    <x v="4"/>
  </r>
  <r>
    <x v="0"/>
    <s v="郎园"/>
    <x v="1"/>
  </r>
  <r>
    <x v="0"/>
    <s v="郑成倩"/>
    <x v="18"/>
  </r>
  <r>
    <x v="0"/>
    <s v="冯婷婷"/>
    <x v="21"/>
  </r>
  <r>
    <x v="0"/>
    <s v="周文涛"/>
    <x v="22"/>
  </r>
  <r>
    <x v="0"/>
    <s v="吕丹"/>
    <x v="23"/>
  </r>
  <r>
    <x v="1"/>
    <s v="张梅香"/>
    <x v="24"/>
  </r>
  <r>
    <x v="1"/>
    <s v="王元珊"/>
    <x v="2"/>
  </r>
  <r>
    <x v="1"/>
    <s v="吴鑫月"/>
    <x v="7"/>
  </r>
  <r>
    <x v="1"/>
    <s v="陈敏"/>
    <x v="25"/>
  </r>
  <r>
    <x v="1"/>
    <s v="孔瑞"/>
    <x v="26"/>
  </r>
  <r>
    <x v="1"/>
    <s v="孙香秀"/>
    <x v="6"/>
  </r>
  <r>
    <x v="1"/>
    <s v="李大秀"/>
    <x v="24"/>
  </r>
  <r>
    <x v="1"/>
    <s v="吴红萍"/>
    <x v="27"/>
  </r>
  <r>
    <x v="1"/>
    <s v="郑锦"/>
    <x v="28"/>
  </r>
  <r>
    <x v="1"/>
    <s v="秦玉晶"/>
    <x v="15"/>
  </r>
  <r>
    <x v="1"/>
    <s v="殷艳"/>
    <x v="29"/>
  </r>
  <r>
    <x v="1"/>
    <s v="赵翡翠"/>
    <x v="30"/>
  </r>
  <r>
    <x v="1"/>
    <s v="钱迎春"/>
    <x v="14"/>
  </r>
  <r>
    <x v="1"/>
    <s v="周太群"/>
    <x v="31"/>
  </r>
  <r>
    <x v="1"/>
    <s v="陈慧"/>
    <x v="20"/>
  </r>
  <r>
    <x v="1"/>
    <s v="严倩"/>
    <x v="32"/>
  </r>
  <r>
    <x v="1"/>
    <s v="朱洪丽"/>
    <x v="32"/>
  </r>
  <r>
    <x v="1"/>
    <s v="暨舒"/>
    <x v="33"/>
  </r>
  <r>
    <x v="1"/>
    <s v="戚菜玲"/>
    <x v="26"/>
  </r>
  <r>
    <x v="1"/>
    <s v="秦锦"/>
    <x v="25"/>
  </r>
  <r>
    <x v="1"/>
    <s v="陈莉莎"/>
    <x v="5"/>
  </r>
  <r>
    <x v="1"/>
    <s v="褚纨"/>
    <x v="3"/>
  </r>
  <r>
    <x v="1"/>
    <s v="秦传敏"/>
    <x v="19"/>
  </r>
  <r>
    <x v="1"/>
    <s v="戚沛文"/>
    <x v="20"/>
  </r>
  <r>
    <x v="1"/>
    <s v="皮佳丽"/>
    <x v="2"/>
  </r>
  <r>
    <x v="1"/>
    <s v="魏芳"/>
    <x v="34"/>
  </r>
  <r>
    <x v="1"/>
    <s v="张育"/>
    <x v="35"/>
  </r>
  <r>
    <x v="1"/>
    <s v="冯宗莉"/>
    <x v="9"/>
  </r>
  <r>
    <x v="1"/>
    <s v="施文涛"/>
    <x v="25"/>
  </r>
  <r>
    <x v="1"/>
    <s v="郑心媛"/>
    <x v="36"/>
  </r>
  <r>
    <x v="1"/>
    <s v="金宗莉"/>
    <x v="31"/>
  </r>
  <r>
    <x v="2"/>
    <s v="蒋光桃"/>
    <x v="34"/>
  </r>
  <r>
    <x v="2"/>
    <s v="韩芸"/>
    <x v="4"/>
  </r>
  <r>
    <x v="2"/>
    <s v="范咏"/>
    <x v="37"/>
  </r>
  <r>
    <x v="2"/>
    <s v="孙佳丽"/>
    <x v="8"/>
  </r>
  <r>
    <x v="2"/>
    <s v="吕婷婷"/>
    <x v="4"/>
  </r>
  <r>
    <x v="2"/>
    <s v="郎玉兰"/>
    <x v="31"/>
  </r>
  <r>
    <x v="2"/>
    <s v="严蕊"/>
    <x v="18"/>
  </r>
  <r>
    <x v="2"/>
    <s v="孔荔"/>
    <x v="38"/>
  </r>
  <r>
    <x v="2"/>
    <s v="吴瑾"/>
    <x v="18"/>
  </r>
  <r>
    <x v="2"/>
    <s v="伊琳"/>
    <x v="39"/>
  </r>
  <r>
    <x v="2"/>
    <s v="杨艳"/>
    <x v="4"/>
  </r>
  <r>
    <x v="2"/>
    <s v="应梦娇"/>
    <x v="40"/>
  </r>
  <r>
    <x v="2"/>
    <s v="杨丽"/>
    <x v="41"/>
  </r>
  <r>
    <x v="2"/>
    <s v="蒋琴"/>
    <x v="42"/>
  </r>
  <r>
    <x v="2"/>
    <s v="许锦"/>
    <x v="14"/>
  </r>
  <r>
    <x v="2"/>
    <s v="施丽"/>
    <x v="33"/>
  </r>
  <r>
    <x v="2"/>
    <s v="金小丽"/>
    <x v="34"/>
  </r>
  <r>
    <x v="2"/>
    <s v="朱慧"/>
    <x v="43"/>
  </r>
  <r>
    <x v="2"/>
    <s v="韩蕊"/>
    <x v="44"/>
  </r>
  <r>
    <x v="2"/>
    <s v="吴妙海"/>
    <x v="4"/>
  </r>
  <r>
    <x v="2"/>
    <s v="曹程悦"/>
    <x v="22"/>
  </r>
  <r>
    <x v="2"/>
    <s v="钱江霞"/>
    <x v="26"/>
  </r>
  <r>
    <x v="2"/>
    <s v="严小兰"/>
    <x v="39"/>
  </r>
  <r>
    <x v="2"/>
    <s v="郑春文"/>
    <x v="41"/>
  </r>
  <r>
    <x v="2"/>
    <s v="严欣淼"/>
    <x v="31"/>
  </r>
  <r>
    <x v="2"/>
    <s v="何玉兰"/>
    <x v="8"/>
  </r>
  <r>
    <x v="2"/>
    <s v="陈文倩"/>
    <x v="32"/>
  </r>
  <r>
    <x v="2"/>
    <s v="尤念"/>
    <x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4"/>
    <x v="16"/>
  </r>
  <r>
    <x v="1"/>
    <x v="5"/>
    <x v="17"/>
  </r>
  <r>
    <x v="1"/>
    <x v="6"/>
    <x v="18"/>
  </r>
  <r>
    <x v="1"/>
    <x v="7"/>
    <x v="19"/>
  </r>
  <r>
    <x v="1"/>
    <x v="8"/>
    <x v="20"/>
  </r>
  <r>
    <x v="1"/>
    <x v="9"/>
    <x v="21"/>
  </r>
  <r>
    <x v="1"/>
    <x v="10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3"/>
    <x v="27"/>
  </r>
  <r>
    <x v="2"/>
    <x v="4"/>
    <x v="28"/>
  </r>
  <r>
    <x v="2"/>
    <x v="5"/>
    <x v="29"/>
  </r>
  <r>
    <x v="2"/>
    <x v="6"/>
    <x v="30"/>
  </r>
  <r>
    <x v="2"/>
    <x v="7"/>
    <x v="31"/>
  </r>
  <r>
    <x v="2"/>
    <x v="8"/>
    <x v="32"/>
  </r>
  <r>
    <x v="2"/>
    <x v="9"/>
    <x v="33"/>
  </r>
  <r>
    <x v="2"/>
    <x v="10"/>
    <x v="34"/>
  </r>
  <r>
    <x v="2"/>
    <x v="11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9BFB-D1D6-42A1-BBF3-3B3AD7C4C208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1:I5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46">
        <item x="34"/>
        <item x="18"/>
        <item x="37"/>
        <item x="43"/>
        <item x="13"/>
        <item x="19"/>
        <item x="40"/>
        <item x="11"/>
        <item x="41"/>
        <item x="2"/>
        <item x="32"/>
        <item x="33"/>
        <item x="44"/>
        <item x="12"/>
        <item x="20"/>
        <item x="23"/>
        <item x="6"/>
        <item x="27"/>
        <item x="14"/>
        <item x="21"/>
        <item x="26"/>
        <item x="28"/>
        <item x="9"/>
        <item x="30"/>
        <item x="5"/>
        <item x="8"/>
        <item x="35"/>
        <item x="25"/>
        <item x="39"/>
        <item x="15"/>
        <item x="3"/>
        <item x="7"/>
        <item x="0"/>
        <item x="16"/>
        <item x="38"/>
        <item x="22"/>
        <item x="10"/>
        <item x="36"/>
        <item x="42"/>
        <item x="24"/>
        <item x="4"/>
        <item x="31"/>
        <item x="29"/>
        <item x="1"/>
        <item x="17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成绩" fld="2" subtotal="average" baseField="0" baseItem="0"/>
    <dataField name="最大值项:成绩2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BA60C-F99A-4A54-9B61-A8CADA9C9F85}" name="数据透视表3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H1:J15" firstHeaderRow="0" firstDataRow="1" firstDataCol="1"/>
  <pivotFields count="3">
    <pivotField axis="axisRow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36">
        <item x="1"/>
        <item x="23"/>
        <item x="0"/>
        <item x="2"/>
        <item x="20"/>
        <item x="7"/>
        <item x="18"/>
        <item x="26"/>
        <item x="16"/>
        <item x="15"/>
        <item x="5"/>
        <item x="21"/>
        <item x="27"/>
        <item x="29"/>
        <item x="32"/>
        <item x="30"/>
        <item x="34"/>
        <item x="13"/>
        <item x="12"/>
        <item x="10"/>
        <item x="6"/>
        <item x="9"/>
        <item x="24"/>
        <item x="14"/>
        <item x="3"/>
        <item x="22"/>
        <item x="25"/>
        <item x="4"/>
        <item x="19"/>
        <item x="28"/>
        <item x="33"/>
        <item x="8"/>
        <item x="11"/>
        <item x="31"/>
        <item x="17"/>
        <item t="default"/>
      </items>
    </pivotField>
  </pivotFields>
  <rowFields count="2">
    <field x="0"/>
    <field x="1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额" fld="2" baseField="0" baseItem="0"/>
    <dataField name="平均值项:营业额2" fld="2" subtotal="average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6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7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5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16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0520BCED-5F5B-48ED-8082-4AE1F75FA09F}" sourceName="门店">
  <pivotTables>
    <pivotTable tabId="2" name="数据透视表3"/>
  </pivotTables>
  <data>
    <tabular pivotCacheId="703970675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A90633A6-A54D-48B6-B16F-AB4D9095537D}" sourceName="月份">
  <pivotTables>
    <pivotTable tabId="2" name="数据透视表3"/>
  </pivotTables>
  <data>
    <tabular pivotCacheId="703970675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营业额" xr10:uid="{2A3B9ECD-8401-47E0-8F0C-0EEE2FFC47A8}" sourceName="营业额">
  <pivotTables>
    <pivotTable tabId="2" name="数据透视表3"/>
  </pivotTables>
  <data>
    <tabular pivotCacheId="703970675">
      <items count="35">
        <i x="26" s="1"/>
        <i x="27" s="1"/>
        <i x="29" s="1"/>
        <i x="32" s="1"/>
        <i x="30" s="1"/>
        <i x="34" s="1"/>
        <i x="24" s="1"/>
        <i x="14" s="1"/>
        <i x="25" s="1"/>
        <i x="28" s="1"/>
        <i x="33" s="1"/>
        <i x="31" s="1"/>
        <i x="1" s="1" nd="1"/>
        <i x="23" s="1" nd="1"/>
        <i x="0" s="1" nd="1"/>
        <i x="2" s="1" nd="1"/>
        <i x="20" s="1" nd="1"/>
        <i x="7" s="1" nd="1"/>
        <i x="18" s="1" nd="1"/>
        <i x="16" s="1" nd="1"/>
        <i x="15" s="1" nd="1"/>
        <i x="5" s="1" nd="1"/>
        <i x="21" s="1" nd="1"/>
        <i x="13" s="1" nd="1"/>
        <i x="12" s="1" nd="1"/>
        <i x="10" s="1" nd="1"/>
        <i x="6" s="1" nd="1"/>
        <i x="9" s="1" nd="1"/>
        <i x="3" s="1" nd="1"/>
        <i x="22" s="1" nd="1"/>
        <i x="4" s="1" nd="1"/>
        <i x="19" s="1" nd="1"/>
        <i x="8" s="1" nd="1"/>
        <i x="11" s="1" nd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门店" xr10:uid="{64C194C1-C991-4F13-A2F5-06CBAD20DD21}" cache="切片器_门店" caption="门店" rowHeight="209550"/>
  <slicer name="月份" xr10:uid="{3FA52F7B-A755-4412-A9C3-97E5FFD29235}" cache="切片器_月份" caption="月份" rowHeight="209550"/>
  <slicer name="营业额" xr10:uid="{DFD06DEF-16CF-4775-B6CB-E12DCA8E920B}" cache="切片器_营业额" caption="营业额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workbookViewId="0">
      <selection activeCell="H15" sqref="H15"/>
    </sheetView>
  </sheetViews>
  <sheetFormatPr defaultRowHeight="13.8" x14ac:dyDescent="0.25"/>
  <cols>
    <col min="5" max="5" width="9.109375" customWidth="1"/>
    <col min="6" max="6" width="11.44140625" customWidth="1"/>
    <col min="7" max="7" width="9.77734375" bestFit="1" customWidth="1"/>
    <col min="8" max="8" width="14.33203125" bestFit="1" customWidth="1"/>
    <col min="9" max="9" width="15.5546875" bestFit="1" customWidth="1"/>
    <col min="10" max="10" width="5.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E1" t="s">
        <v>99</v>
      </c>
      <c r="G1" s="6" t="s">
        <v>124</v>
      </c>
      <c r="H1" t="s">
        <v>126</v>
      </c>
      <c r="I1" t="s">
        <v>127</v>
      </c>
    </row>
    <row r="2" spans="1:9" x14ac:dyDescent="0.25">
      <c r="A2" s="1" t="s">
        <v>4</v>
      </c>
      <c r="B2" s="1" t="s">
        <v>9</v>
      </c>
      <c r="C2" s="1">
        <v>86</v>
      </c>
      <c r="E2" t="s">
        <v>100</v>
      </c>
      <c r="G2" s="3" t="s">
        <v>3</v>
      </c>
      <c r="H2">
        <v>72.967741935483872</v>
      </c>
      <c r="I2">
        <v>100</v>
      </c>
    </row>
    <row r="3" spans="1:9" x14ac:dyDescent="0.25">
      <c r="A3" s="1" t="s">
        <v>3</v>
      </c>
      <c r="B3" s="1" t="s">
        <v>10</v>
      </c>
      <c r="C3" s="1">
        <v>99</v>
      </c>
      <c r="G3" s="3" t="s">
        <v>5</v>
      </c>
      <c r="H3">
        <v>73.741935483870961</v>
      </c>
      <c r="I3">
        <v>98</v>
      </c>
    </row>
    <row r="4" spans="1:9" x14ac:dyDescent="0.25">
      <c r="A4" s="1" t="s">
        <v>3</v>
      </c>
      <c r="B4" s="1" t="s">
        <v>11</v>
      </c>
      <c r="C4" s="1">
        <v>56</v>
      </c>
      <c r="G4" s="3" t="s">
        <v>7</v>
      </c>
      <c r="H4">
        <v>70.392857142857139</v>
      </c>
      <c r="I4">
        <v>97</v>
      </c>
    </row>
    <row r="5" spans="1:9" x14ac:dyDescent="0.25">
      <c r="A5" s="1" t="s">
        <v>3</v>
      </c>
      <c r="B5" s="1" t="s">
        <v>12</v>
      </c>
      <c r="C5" s="1">
        <v>83</v>
      </c>
      <c r="E5" s="3"/>
      <c r="G5" s="3" t="s">
        <v>125</v>
      </c>
      <c r="H5">
        <v>72.433333333333337</v>
      </c>
      <c r="I5">
        <v>100</v>
      </c>
    </row>
    <row r="6" spans="1:9" x14ac:dyDescent="0.25">
      <c r="A6" s="1" t="s">
        <v>3</v>
      </c>
      <c r="B6" s="1" t="s">
        <v>13</v>
      </c>
      <c r="C6" s="1">
        <v>96</v>
      </c>
      <c r="E6" s="3"/>
    </row>
    <row r="7" spans="1:9" x14ac:dyDescent="0.25">
      <c r="A7" s="1" t="s">
        <v>3</v>
      </c>
      <c r="B7" s="1" t="s">
        <v>14</v>
      </c>
      <c r="C7" s="1">
        <v>76</v>
      </c>
      <c r="E7" s="3"/>
    </row>
    <row r="8" spans="1:9" x14ac:dyDescent="0.25">
      <c r="A8" s="1" t="s">
        <v>3</v>
      </c>
      <c r="B8" s="1" t="s">
        <v>15</v>
      </c>
      <c r="C8" s="1">
        <v>64</v>
      </c>
      <c r="E8" s="3"/>
    </row>
    <row r="9" spans="1:9" x14ac:dyDescent="0.25">
      <c r="A9" s="1" t="s">
        <v>3</v>
      </c>
      <c r="B9" s="1" t="s">
        <v>16</v>
      </c>
      <c r="C9" s="1">
        <v>85</v>
      </c>
    </row>
    <row r="10" spans="1:9" x14ac:dyDescent="0.25">
      <c r="A10" s="1" t="s">
        <v>3</v>
      </c>
      <c r="B10" s="1" t="s">
        <v>17</v>
      </c>
      <c r="C10" s="1">
        <v>77</v>
      </c>
    </row>
    <row r="11" spans="1:9" x14ac:dyDescent="0.25">
      <c r="A11" s="1" t="s">
        <v>3</v>
      </c>
      <c r="B11" s="1" t="s">
        <v>18</v>
      </c>
      <c r="C11" s="1">
        <v>74</v>
      </c>
    </row>
    <row r="12" spans="1:9" x14ac:dyDescent="0.25">
      <c r="A12" s="1" t="s">
        <v>3</v>
      </c>
      <c r="B12" s="1" t="s">
        <v>19</v>
      </c>
      <c r="C12" s="1">
        <v>92</v>
      </c>
    </row>
    <row r="13" spans="1:9" x14ac:dyDescent="0.25">
      <c r="A13" s="1" t="s">
        <v>3</v>
      </c>
      <c r="B13" s="1" t="s">
        <v>20</v>
      </c>
      <c r="C13" s="1">
        <v>64</v>
      </c>
      <c r="E13" s="3"/>
    </row>
    <row r="14" spans="1:9" x14ac:dyDescent="0.25">
      <c r="A14" s="1" t="s">
        <v>3</v>
      </c>
      <c r="B14" s="1" t="s">
        <v>21</v>
      </c>
      <c r="C14" s="1">
        <v>77</v>
      </c>
      <c r="E14" s="3"/>
    </row>
    <row r="15" spans="1:9" x14ac:dyDescent="0.25">
      <c r="A15" s="1" t="s">
        <v>3</v>
      </c>
      <c r="B15" s="1" t="s">
        <v>22</v>
      </c>
      <c r="C15" s="1">
        <v>54</v>
      </c>
      <c r="E15" s="3"/>
    </row>
    <row r="16" spans="1:9" x14ac:dyDescent="0.25">
      <c r="A16" s="1" t="s">
        <v>3</v>
      </c>
      <c r="B16" s="1" t="s">
        <v>23</v>
      </c>
      <c r="C16" s="1">
        <v>61</v>
      </c>
      <c r="E16" s="3"/>
    </row>
    <row r="17" spans="1:3" x14ac:dyDescent="0.25">
      <c r="A17" s="1" t="s">
        <v>3</v>
      </c>
      <c r="B17" s="1" t="s">
        <v>24</v>
      </c>
      <c r="C17" s="1">
        <v>49</v>
      </c>
    </row>
    <row r="18" spans="1:3" x14ac:dyDescent="0.25">
      <c r="A18" s="1" t="s">
        <v>3</v>
      </c>
      <c r="B18" s="1" t="s">
        <v>25</v>
      </c>
      <c r="C18" s="1">
        <v>69</v>
      </c>
    </row>
    <row r="19" spans="1:3" x14ac:dyDescent="0.25">
      <c r="A19" s="1" t="s">
        <v>3</v>
      </c>
      <c r="B19" s="1" t="s">
        <v>26</v>
      </c>
      <c r="C19" s="1">
        <v>82</v>
      </c>
    </row>
    <row r="20" spans="1:3" x14ac:dyDescent="0.25">
      <c r="A20" s="1" t="s">
        <v>3</v>
      </c>
      <c r="B20" s="1" t="s">
        <v>27</v>
      </c>
      <c r="C20" s="1">
        <v>88</v>
      </c>
    </row>
    <row r="21" spans="1:3" x14ac:dyDescent="0.25">
      <c r="A21" s="1" t="s">
        <v>3</v>
      </c>
      <c r="B21" s="1" t="s">
        <v>28</v>
      </c>
      <c r="C21" s="1">
        <v>100</v>
      </c>
    </row>
    <row r="22" spans="1:3" x14ac:dyDescent="0.25">
      <c r="A22" s="1" t="s">
        <v>3</v>
      </c>
      <c r="B22" s="1" t="s">
        <v>29</v>
      </c>
      <c r="C22" s="1">
        <v>46</v>
      </c>
    </row>
    <row r="23" spans="1:3" x14ac:dyDescent="0.25">
      <c r="A23" s="1" t="s">
        <v>3</v>
      </c>
      <c r="B23" s="1" t="s">
        <v>30</v>
      </c>
      <c r="C23" s="1">
        <v>61</v>
      </c>
    </row>
    <row r="24" spans="1:3" x14ac:dyDescent="0.25">
      <c r="A24" s="1" t="s">
        <v>3</v>
      </c>
      <c r="B24" s="1" t="s">
        <v>31</v>
      </c>
      <c r="C24" s="1">
        <v>46</v>
      </c>
    </row>
    <row r="25" spans="1:3" x14ac:dyDescent="0.25">
      <c r="A25" s="1" t="s">
        <v>3</v>
      </c>
      <c r="B25" s="1" t="s">
        <v>32</v>
      </c>
      <c r="C25" s="1">
        <v>50</v>
      </c>
    </row>
    <row r="26" spans="1:3" x14ac:dyDescent="0.25">
      <c r="A26" s="1" t="s">
        <v>3</v>
      </c>
      <c r="B26" s="1" t="s">
        <v>33</v>
      </c>
      <c r="C26" s="1">
        <v>62</v>
      </c>
    </row>
    <row r="27" spans="1:3" x14ac:dyDescent="0.25">
      <c r="A27" s="1" t="s">
        <v>3</v>
      </c>
      <c r="B27" s="1" t="s">
        <v>34</v>
      </c>
      <c r="C27" s="1">
        <v>96</v>
      </c>
    </row>
    <row r="28" spans="1:3" x14ac:dyDescent="0.25">
      <c r="A28" s="1" t="s">
        <v>3</v>
      </c>
      <c r="B28" s="1" t="s">
        <v>35</v>
      </c>
      <c r="C28" s="1">
        <v>99</v>
      </c>
    </row>
    <row r="29" spans="1:3" x14ac:dyDescent="0.25">
      <c r="A29" s="1" t="s">
        <v>3</v>
      </c>
      <c r="B29" s="1" t="s">
        <v>36</v>
      </c>
      <c r="C29" s="1">
        <v>46</v>
      </c>
    </row>
    <row r="30" spans="1:3" x14ac:dyDescent="0.25">
      <c r="A30" s="1" t="s">
        <v>3</v>
      </c>
      <c r="B30" s="1" t="s">
        <v>37</v>
      </c>
      <c r="C30" s="1">
        <v>70</v>
      </c>
    </row>
    <row r="31" spans="1:3" x14ac:dyDescent="0.25">
      <c r="A31" s="1" t="s">
        <v>3</v>
      </c>
      <c r="B31" s="1" t="s">
        <v>38</v>
      </c>
      <c r="C31" s="1">
        <v>91</v>
      </c>
    </row>
    <row r="32" spans="1:3" x14ac:dyDescent="0.25">
      <c r="A32" s="1" t="s">
        <v>3</v>
      </c>
      <c r="B32" s="1" t="s">
        <v>39</v>
      </c>
      <c r="C32" s="1">
        <v>63</v>
      </c>
    </row>
    <row r="33" spans="1:3" x14ac:dyDescent="0.25">
      <c r="A33" s="1" t="s">
        <v>6</v>
      </c>
      <c r="B33" s="1" t="s">
        <v>40</v>
      </c>
      <c r="C33" s="1">
        <v>95</v>
      </c>
    </row>
    <row r="34" spans="1:3" x14ac:dyDescent="0.25">
      <c r="A34" s="1" t="s">
        <v>5</v>
      </c>
      <c r="B34" s="1" t="s">
        <v>41</v>
      </c>
      <c r="C34" s="1">
        <v>56</v>
      </c>
    </row>
    <row r="35" spans="1:3" x14ac:dyDescent="0.25">
      <c r="A35" s="1" t="s">
        <v>5</v>
      </c>
      <c r="B35" s="1" t="s">
        <v>42</v>
      </c>
      <c r="C35" s="1">
        <v>85</v>
      </c>
    </row>
    <row r="36" spans="1:3" x14ac:dyDescent="0.25">
      <c r="A36" s="1" t="s">
        <v>5</v>
      </c>
      <c r="B36" s="1" t="s">
        <v>43</v>
      </c>
      <c r="C36" s="1">
        <v>80</v>
      </c>
    </row>
    <row r="37" spans="1:3" x14ac:dyDescent="0.25">
      <c r="A37" s="1" t="s">
        <v>5</v>
      </c>
      <c r="B37" s="1" t="s">
        <v>44</v>
      </c>
      <c r="C37" s="1">
        <v>71</v>
      </c>
    </row>
    <row r="38" spans="1:3" x14ac:dyDescent="0.25">
      <c r="A38" s="1" t="s">
        <v>5</v>
      </c>
      <c r="B38" s="1" t="s">
        <v>45</v>
      </c>
      <c r="C38" s="1">
        <v>64</v>
      </c>
    </row>
    <row r="39" spans="1:3" x14ac:dyDescent="0.25">
      <c r="A39" s="1" t="s">
        <v>5</v>
      </c>
      <c r="B39" s="1" t="s">
        <v>46</v>
      </c>
      <c r="C39" s="1">
        <v>95</v>
      </c>
    </row>
    <row r="40" spans="1:3" x14ac:dyDescent="0.25">
      <c r="A40" s="1" t="s">
        <v>5</v>
      </c>
      <c r="B40" s="1" t="s">
        <v>47</v>
      </c>
      <c r="C40" s="1">
        <v>66</v>
      </c>
    </row>
    <row r="41" spans="1:3" x14ac:dyDescent="0.25">
      <c r="A41" s="1" t="s">
        <v>5</v>
      </c>
      <c r="B41" s="1" t="s">
        <v>48</v>
      </c>
      <c r="C41" s="1">
        <v>73</v>
      </c>
    </row>
    <row r="42" spans="1:3" x14ac:dyDescent="0.25">
      <c r="A42" s="1" t="s">
        <v>5</v>
      </c>
      <c r="B42" s="1" t="s">
        <v>49</v>
      </c>
      <c r="C42" s="1">
        <v>82</v>
      </c>
    </row>
    <row r="43" spans="1:3" x14ac:dyDescent="0.25">
      <c r="A43" s="1" t="s">
        <v>5</v>
      </c>
      <c r="B43" s="1" t="s">
        <v>50</v>
      </c>
      <c r="C43" s="1">
        <v>98</v>
      </c>
    </row>
    <row r="44" spans="1:3" x14ac:dyDescent="0.25">
      <c r="A44" s="1" t="s">
        <v>5</v>
      </c>
      <c r="B44" s="1" t="s">
        <v>51</v>
      </c>
      <c r="C44" s="1">
        <v>75</v>
      </c>
    </row>
    <row r="45" spans="1:3" x14ac:dyDescent="0.25">
      <c r="A45" s="1" t="s">
        <v>5</v>
      </c>
      <c r="B45" s="1" t="s">
        <v>52</v>
      </c>
      <c r="C45" s="1">
        <v>69</v>
      </c>
    </row>
    <row r="46" spans="1:3" x14ac:dyDescent="0.25">
      <c r="A46" s="1" t="s">
        <v>5</v>
      </c>
      <c r="B46" s="1" t="s">
        <v>53</v>
      </c>
      <c r="C46" s="1">
        <v>97</v>
      </c>
    </row>
    <row r="47" spans="1:3" x14ac:dyDescent="0.25">
      <c r="A47" s="1" t="s">
        <v>5</v>
      </c>
      <c r="B47" s="1" t="s">
        <v>54</v>
      </c>
      <c r="C47" s="1">
        <v>62</v>
      </c>
    </row>
    <row r="48" spans="1:3" x14ac:dyDescent="0.25">
      <c r="A48" s="1" t="s">
        <v>5</v>
      </c>
      <c r="B48" s="1" t="s">
        <v>55</v>
      </c>
      <c r="C48" s="1">
        <v>57</v>
      </c>
    </row>
    <row r="49" spans="1:3" x14ac:dyDescent="0.25">
      <c r="A49" s="1" t="s">
        <v>5</v>
      </c>
      <c r="B49" s="1" t="s">
        <v>56</v>
      </c>
      <c r="C49" s="1">
        <v>57</v>
      </c>
    </row>
    <row r="50" spans="1:3" x14ac:dyDescent="0.25">
      <c r="A50" s="1" t="s">
        <v>5</v>
      </c>
      <c r="B50" s="1" t="s">
        <v>57</v>
      </c>
      <c r="C50" s="1">
        <v>59</v>
      </c>
    </row>
    <row r="51" spans="1:3" x14ac:dyDescent="0.25">
      <c r="A51" s="1" t="s">
        <v>5</v>
      </c>
      <c r="B51" s="1" t="s">
        <v>58</v>
      </c>
      <c r="C51" s="1">
        <v>71</v>
      </c>
    </row>
    <row r="52" spans="1:3" x14ac:dyDescent="0.25">
      <c r="A52" s="1" t="s">
        <v>5</v>
      </c>
      <c r="B52" s="1" t="s">
        <v>59</v>
      </c>
      <c r="C52" s="1">
        <v>80</v>
      </c>
    </row>
    <row r="53" spans="1:3" x14ac:dyDescent="0.25">
      <c r="A53" s="1" t="s">
        <v>5</v>
      </c>
      <c r="B53" s="1" t="s">
        <v>60</v>
      </c>
      <c r="C53" s="1">
        <v>76</v>
      </c>
    </row>
    <row r="54" spans="1:3" x14ac:dyDescent="0.25">
      <c r="A54" s="1" t="s">
        <v>5</v>
      </c>
      <c r="B54" s="1" t="s">
        <v>61</v>
      </c>
      <c r="C54" s="1">
        <v>83</v>
      </c>
    </row>
    <row r="55" spans="1:3" x14ac:dyDescent="0.25">
      <c r="A55" s="1" t="s">
        <v>5</v>
      </c>
      <c r="B55" s="1" t="s">
        <v>62</v>
      </c>
      <c r="C55" s="1">
        <v>50</v>
      </c>
    </row>
    <row r="56" spans="1:3" x14ac:dyDescent="0.25">
      <c r="A56" s="1" t="s">
        <v>5</v>
      </c>
      <c r="B56" s="1" t="s">
        <v>63</v>
      </c>
      <c r="C56" s="1">
        <v>62</v>
      </c>
    </row>
    <row r="57" spans="1:3" x14ac:dyDescent="0.25">
      <c r="A57" s="1" t="s">
        <v>5</v>
      </c>
      <c r="B57" s="1" t="s">
        <v>64</v>
      </c>
      <c r="C57" s="1">
        <v>56</v>
      </c>
    </row>
    <row r="58" spans="1:3" x14ac:dyDescent="0.25">
      <c r="A58" s="1" t="s">
        <v>5</v>
      </c>
      <c r="B58" s="1" t="s">
        <v>65</v>
      </c>
      <c r="C58" s="1">
        <v>45</v>
      </c>
    </row>
    <row r="59" spans="1:3" x14ac:dyDescent="0.25">
      <c r="A59" s="1" t="s">
        <v>5</v>
      </c>
      <c r="B59" s="1" t="s">
        <v>66</v>
      </c>
      <c r="C59" s="1">
        <v>78</v>
      </c>
    </row>
    <row r="60" spans="1:3" x14ac:dyDescent="0.25">
      <c r="A60" s="1" t="s">
        <v>5</v>
      </c>
      <c r="B60" s="1" t="s">
        <v>67</v>
      </c>
      <c r="C60" s="1">
        <v>74</v>
      </c>
    </row>
    <row r="61" spans="1:3" x14ac:dyDescent="0.25">
      <c r="A61" s="1" t="s">
        <v>5</v>
      </c>
      <c r="B61" s="1" t="s">
        <v>68</v>
      </c>
      <c r="C61" s="1">
        <v>80</v>
      </c>
    </row>
    <row r="62" spans="1:3" x14ac:dyDescent="0.25">
      <c r="A62" s="1" t="s">
        <v>5</v>
      </c>
      <c r="B62" s="1" t="s">
        <v>69</v>
      </c>
      <c r="C62" s="1">
        <v>93</v>
      </c>
    </row>
    <row r="63" spans="1:3" x14ac:dyDescent="0.25">
      <c r="A63" s="1" t="s">
        <v>5</v>
      </c>
      <c r="B63" s="1" t="s">
        <v>70</v>
      </c>
      <c r="C63" s="1">
        <v>97</v>
      </c>
    </row>
    <row r="64" spans="1:3" x14ac:dyDescent="0.25">
      <c r="A64" s="1" t="s">
        <v>8</v>
      </c>
      <c r="B64" s="1" t="s">
        <v>71</v>
      </c>
      <c r="C64" s="1">
        <v>45</v>
      </c>
    </row>
    <row r="65" spans="1:3" x14ac:dyDescent="0.25">
      <c r="A65" s="1" t="s">
        <v>7</v>
      </c>
      <c r="B65" s="1" t="s">
        <v>72</v>
      </c>
      <c r="C65" s="1">
        <v>96</v>
      </c>
    </row>
    <row r="66" spans="1:3" x14ac:dyDescent="0.25">
      <c r="A66" s="1" t="s">
        <v>7</v>
      </c>
      <c r="B66" s="1" t="s">
        <v>73</v>
      </c>
      <c r="C66" s="1">
        <v>47</v>
      </c>
    </row>
    <row r="67" spans="1:3" x14ac:dyDescent="0.25">
      <c r="A67" s="1" t="s">
        <v>7</v>
      </c>
      <c r="B67" s="1" t="s">
        <v>74</v>
      </c>
      <c r="C67" s="1">
        <v>77</v>
      </c>
    </row>
    <row r="68" spans="1:3" x14ac:dyDescent="0.25">
      <c r="A68" s="1" t="s">
        <v>7</v>
      </c>
      <c r="B68" s="1" t="s">
        <v>75</v>
      </c>
      <c r="C68" s="1">
        <v>96</v>
      </c>
    </row>
    <row r="69" spans="1:3" x14ac:dyDescent="0.25">
      <c r="A69" s="1" t="s">
        <v>7</v>
      </c>
      <c r="B69" s="1" t="s">
        <v>76</v>
      </c>
      <c r="C69" s="1">
        <v>97</v>
      </c>
    </row>
    <row r="70" spans="1:3" x14ac:dyDescent="0.25">
      <c r="A70" s="1" t="s">
        <v>7</v>
      </c>
      <c r="B70" s="1" t="s">
        <v>77</v>
      </c>
      <c r="C70" s="1">
        <v>46</v>
      </c>
    </row>
    <row r="71" spans="1:3" x14ac:dyDescent="0.25">
      <c r="A71" s="1" t="s">
        <v>7</v>
      </c>
      <c r="B71" s="1" t="s">
        <v>78</v>
      </c>
      <c r="C71" s="1">
        <v>89</v>
      </c>
    </row>
    <row r="72" spans="1:3" x14ac:dyDescent="0.25">
      <c r="A72" s="1" t="s">
        <v>7</v>
      </c>
      <c r="B72" s="1" t="s">
        <v>79</v>
      </c>
      <c r="C72" s="1">
        <v>46</v>
      </c>
    </row>
    <row r="73" spans="1:3" x14ac:dyDescent="0.25">
      <c r="A73" s="1" t="s">
        <v>7</v>
      </c>
      <c r="B73" s="1" t="s">
        <v>80</v>
      </c>
      <c r="C73" s="1">
        <v>81</v>
      </c>
    </row>
    <row r="74" spans="1:3" x14ac:dyDescent="0.25">
      <c r="A74" s="1" t="s">
        <v>7</v>
      </c>
      <c r="B74" s="1" t="s">
        <v>81</v>
      </c>
      <c r="C74" s="1">
        <v>96</v>
      </c>
    </row>
    <row r="75" spans="1:3" x14ac:dyDescent="0.25">
      <c r="A75" s="1" t="s">
        <v>7</v>
      </c>
      <c r="B75" s="1" t="s">
        <v>82</v>
      </c>
      <c r="C75" s="1">
        <v>52</v>
      </c>
    </row>
    <row r="76" spans="1:3" x14ac:dyDescent="0.25">
      <c r="A76" s="1" t="s">
        <v>7</v>
      </c>
      <c r="B76" s="1" t="s">
        <v>83</v>
      </c>
      <c r="C76" s="1">
        <v>55</v>
      </c>
    </row>
    <row r="77" spans="1:3" x14ac:dyDescent="0.25">
      <c r="A77" s="1" t="s">
        <v>7</v>
      </c>
      <c r="B77" s="1" t="s">
        <v>84</v>
      </c>
      <c r="C77" s="1">
        <v>94</v>
      </c>
    </row>
    <row r="78" spans="1:3" x14ac:dyDescent="0.25">
      <c r="A78" s="1" t="s">
        <v>7</v>
      </c>
      <c r="B78" s="1" t="s">
        <v>85</v>
      </c>
      <c r="C78" s="1">
        <v>69</v>
      </c>
    </row>
    <row r="79" spans="1:3" x14ac:dyDescent="0.25">
      <c r="A79" s="1" t="s">
        <v>7</v>
      </c>
      <c r="B79" s="1" t="s">
        <v>86</v>
      </c>
      <c r="C79" s="1">
        <v>59</v>
      </c>
    </row>
    <row r="80" spans="1:3" x14ac:dyDescent="0.25">
      <c r="A80" s="1" t="s">
        <v>7</v>
      </c>
      <c r="B80" s="1" t="s">
        <v>87</v>
      </c>
      <c r="C80" s="1">
        <v>45</v>
      </c>
    </row>
    <row r="81" spans="1:3" x14ac:dyDescent="0.25">
      <c r="A81" s="1" t="s">
        <v>7</v>
      </c>
      <c r="B81" s="1" t="s">
        <v>88</v>
      </c>
      <c r="C81" s="1">
        <v>48</v>
      </c>
    </row>
    <row r="82" spans="1:3" x14ac:dyDescent="0.25">
      <c r="A82" s="1" t="s">
        <v>7</v>
      </c>
      <c r="B82" s="1" t="s">
        <v>89</v>
      </c>
      <c r="C82" s="1">
        <v>60</v>
      </c>
    </row>
    <row r="83" spans="1:3" x14ac:dyDescent="0.25">
      <c r="A83" s="1" t="s">
        <v>7</v>
      </c>
      <c r="B83" s="1" t="s">
        <v>90</v>
      </c>
      <c r="C83" s="1">
        <v>96</v>
      </c>
    </row>
    <row r="84" spans="1:3" x14ac:dyDescent="0.25">
      <c r="A84" s="1" t="s">
        <v>7</v>
      </c>
      <c r="B84" s="1" t="s">
        <v>91</v>
      </c>
      <c r="C84" s="1">
        <v>91</v>
      </c>
    </row>
    <row r="85" spans="1:3" x14ac:dyDescent="0.25">
      <c r="A85" s="1" t="s">
        <v>7</v>
      </c>
      <c r="B85" s="1" t="s">
        <v>92</v>
      </c>
      <c r="C85" s="1">
        <v>71</v>
      </c>
    </row>
    <row r="86" spans="1:3" x14ac:dyDescent="0.25">
      <c r="A86" s="1" t="s">
        <v>7</v>
      </c>
      <c r="B86" s="1" t="s">
        <v>93</v>
      </c>
      <c r="C86" s="1">
        <v>81</v>
      </c>
    </row>
    <row r="87" spans="1:3" x14ac:dyDescent="0.25">
      <c r="A87" s="1" t="s">
        <v>7</v>
      </c>
      <c r="B87" s="1" t="s">
        <v>94</v>
      </c>
      <c r="C87" s="1">
        <v>55</v>
      </c>
    </row>
    <row r="88" spans="1:3" x14ac:dyDescent="0.25">
      <c r="A88" s="1" t="s">
        <v>7</v>
      </c>
      <c r="B88" s="1" t="s">
        <v>95</v>
      </c>
      <c r="C88" s="1">
        <v>97</v>
      </c>
    </row>
    <row r="89" spans="1:3" x14ac:dyDescent="0.25">
      <c r="A89" s="1" t="s">
        <v>7</v>
      </c>
      <c r="B89" s="1" t="s">
        <v>96</v>
      </c>
      <c r="C89" s="1">
        <v>77</v>
      </c>
    </row>
    <row r="90" spans="1:3" x14ac:dyDescent="0.25">
      <c r="A90" s="1" t="s">
        <v>7</v>
      </c>
      <c r="B90" s="1" t="s">
        <v>97</v>
      </c>
      <c r="C90" s="1">
        <v>57</v>
      </c>
    </row>
    <row r="91" spans="1:3" x14ac:dyDescent="0.25">
      <c r="A91" s="1" t="s">
        <v>7</v>
      </c>
      <c r="B91" s="1" t="s">
        <v>98</v>
      </c>
      <c r="C91" s="1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>
      <selection activeCell="V17" sqref="V17"/>
    </sheetView>
  </sheetViews>
  <sheetFormatPr defaultRowHeight="13.8" x14ac:dyDescent="0.25"/>
  <cols>
    <col min="5" max="5" width="13.6640625" customWidth="1"/>
    <col min="6" max="6" width="9.109375" customWidth="1"/>
    <col min="7" max="7" width="6.44140625" customWidth="1"/>
    <col min="8" max="8" width="12" style="7" bestFit="1" customWidth="1"/>
    <col min="9" max="9" width="14.33203125" style="7" bestFit="1" customWidth="1"/>
    <col min="10" max="10" width="17.77734375" style="7" bestFit="1" customWidth="1"/>
    <col min="11" max="12" width="6" bestFit="1" customWidth="1"/>
    <col min="13" max="14" width="7.109375" bestFit="1" customWidth="1"/>
    <col min="15" max="15" width="6" bestFit="1" customWidth="1"/>
    <col min="16" max="16" width="7.109375" bestFit="1" customWidth="1"/>
    <col min="17" max="17" width="6" bestFit="1" customWidth="1"/>
    <col min="18" max="18" width="7.109375" bestFit="1" customWidth="1"/>
    <col min="19" max="20" width="7.5546875" bestFit="1" customWidth="1"/>
    <col min="21" max="21" width="17.77734375" bestFit="1" customWidth="1"/>
    <col min="22" max="22" width="14.109375" bestFit="1" customWidth="1"/>
    <col min="23" max="23" width="6" bestFit="1" customWidth="1"/>
    <col min="24" max="25" width="14.109375" bestFit="1" customWidth="1"/>
    <col min="26" max="26" width="6" bestFit="1" customWidth="1"/>
    <col min="27" max="29" width="14.109375" bestFit="1" customWidth="1"/>
    <col min="30" max="30" width="6" bestFit="1" customWidth="1"/>
    <col min="31" max="32" width="14.109375" bestFit="1" customWidth="1"/>
    <col min="33" max="33" width="18.77734375" bestFit="1" customWidth="1"/>
    <col min="34" max="34" width="22.21875" bestFit="1" customWidth="1"/>
  </cols>
  <sheetData>
    <row r="1" spans="1:10" x14ac:dyDescent="0.25">
      <c r="A1" s="2" t="s">
        <v>101</v>
      </c>
      <c r="B1" s="2" t="s">
        <v>102</v>
      </c>
      <c r="C1" s="2" t="s">
        <v>103</v>
      </c>
      <c r="E1" t="s">
        <v>107</v>
      </c>
      <c r="H1" s="8" t="s">
        <v>124</v>
      </c>
      <c r="I1" s="9" t="s">
        <v>129</v>
      </c>
      <c r="J1" s="9" t="s">
        <v>130</v>
      </c>
    </row>
    <row r="2" spans="1:10" x14ac:dyDescent="0.25">
      <c r="A2" s="1" t="s">
        <v>104</v>
      </c>
      <c r="B2" s="1" t="s">
        <v>109</v>
      </c>
      <c r="C2" s="1">
        <v>1498</v>
      </c>
      <c r="E2" t="s">
        <v>108</v>
      </c>
      <c r="H2" s="9" t="s">
        <v>128</v>
      </c>
      <c r="I2" s="13">
        <v>40354</v>
      </c>
      <c r="J2" s="13">
        <v>3362.8333333333335</v>
      </c>
    </row>
    <row r="3" spans="1:10" x14ac:dyDescent="0.25">
      <c r="A3" s="1" t="s">
        <v>104</v>
      </c>
      <c r="B3" s="1" t="s">
        <v>110</v>
      </c>
      <c r="C3" s="1">
        <v>1066</v>
      </c>
      <c r="H3" s="9" t="s">
        <v>131</v>
      </c>
      <c r="I3" s="13">
        <v>3747</v>
      </c>
      <c r="J3" s="13">
        <v>3747</v>
      </c>
    </row>
    <row r="4" spans="1:10" x14ac:dyDescent="0.25">
      <c r="A4" s="1" t="s">
        <v>104</v>
      </c>
      <c r="B4" s="1" t="s">
        <v>111</v>
      </c>
      <c r="C4" s="1">
        <v>1633</v>
      </c>
      <c r="H4" s="9" t="s">
        <v>132</v>
      </c>
      <c r="I4" s="13">
        <v>4009</v>
      </c>
      <c r="J4" s="13">
        <v>4009</v>
      </c>
    </row>
    <row r="5" spans="1:10" x14ac:dyDescent="0.25">
      <c r="A5" s="1" t="s">
        <v>104</v>
      </c>
      <c r="B5" s="1" t="s">
        <v>112</v>
      </c>
      <c r="C5" s="1">
        <v>3871</v>
      </c>
      <c r="H5" s="9" t="s">
        <v>133</v>
      </c>
      <c r="I5" s="13">
        <v>1751</v>
      </c>
      <c r="J5" s="13">
        <v>1751</v>
      </c>
    </row>
    <row r="6" spans="1:10" x14ac:dyDescent="0.25">
      <c r="A6" s="1" t="s">
        <v>104</v>
      </c>
      <c r="B6" s="1" t="s">
        <v>113</v>
      </c>
      <c r="C6" s="1">
        <v>4100</v>
      </c>
      <c r="E6" s="3"/>
      <c r="H6" s="9" t="s">
        <v>134</v>
      </c>
      <c r="I6" s="13">
        <v>2687</v>
      </c>
      <c r="J6" s="13">
        <v>2687</v>
      </c>
    </row>
    <row r="7" spans="1:10" x14ac:dyDescent="0.25">
      <c r="A7" s="1" t="s">
        <v>104</v>
      </c>
      <c r="B7" s="1" t="s">
        <v>114</v>
      </c>
      <c r="C7" s="1">
        <v>2338</v>
      </c>
      <c r="E7" s="3"/>
      <c r="H7" s="9" t="s">
        <v>135</v>
      </c>
      <c r="I7" s="13">
        <v>4140</v>
      </c>
      <c r="J7" s="13">
        <v>4140</v>
      </c>
    </row>
    <row r="8" spans="1:10" x14ac:dyDescent="0.25">
      <c r="A8" s="1" t="s">
        <v>104</v>
      </c>
      <c r="B8" s="1" t="s">
        <v>115</v>
      </c>
      <c r="C8" s="1">
        <v>3592</v>
      </c>
      <c r="E8" s="3"/>
      <c r="H8" s="9" t="s">
        <v>136</v>
      </c>
      <c r="I8" s="13">
        <v>2747</v>
      </c>
      <c r="J8" s="13">
        <v>2747</v>
      </c>
    </row>
    <row r="9" spans="1:10" x14ac:dyDescent="0.25">
      <c r="A9" s="1" t="s">
        <v>104</v>
      </c>
      <c r="B9" s="1" t="s">
        <v>116</v>
      </c>
      <c r="C9" s="1">
        <v>1670</v>
      </c>
      <c r="E9" s="3"/>
      <c r="H9" s="9" t="s">
        <v>137</v>
      </c>
      <c r="I9" s="13">
        <v>2778</v>
      </c>
      <c r="J9" s="13">
        <v>2778</v>
      </c>
    </row>
    <row r="10" spans="1:10" x14ac:dyDescent="0.25">
      <c r="A10" s="1" t="s">
        <v>104</v>
      </c>
      <c r="B10" s="1" t="s">
        <v>117</v>
      </c>
      <c r="C10" s="1">
        <v>4671</v>
      </c>
      <c r="E10" s="3"/>
      <c r="H10" s="9" t="s">
        <v>138</v>
      </c>
      <c r="I10" s="13">
        <v>4876</v>
      </c>
      <c r="J10" s="13">
        <v>4876</v>
      </c>
    </row>
    <row r="11" spans="1:10" x14ac:dyDescent="0.25">
      <c r="A11" s="1" t="s">
        <v>104</v>
      </c>
      <c r="B11" s="1" t="s">
        <v>118</v>
      </c>
      <c r="C11" s="1">
        <v>3718</v>
      </c>
      <c r="E11" s="3"/>
      <c r="H11" s="9" t="s">
        <v>139</v>
      </c>
      <c r="I11" s="13">
        <v>2764</v>
      </c>
      <c r="J11" s="13">
        <v>2764</v>
      </c>
    </row>
    <row r="12" spans="1:10" x14ac:dyDescent="0.25">
      <c r="A12" s="1" t="s">
        <v>104</v>
      </c>
      <c r="B12" s="1" t="s">
        <v>119</v>
      </c>
      <c r="C12" s="1">
        <v>3183</v>
      </c>
      <c r="E12" s="3"/>
      <c r="H12" s="9" t="s">
        <v>140</v>
      </c>
      <c r="I12" s="13">
        <v>4310</v>
      </c>
      <c r="J12" s="13">
        <v>4310</v>
      </c>
    </row>
    <row r="13" spans="1:10" x14ac:dyDescent="0.25">
      <c r="A13" s="1" t="s">
        <v>104</v>
      </c>
      <c r="B13" s="1" t="s">
        <v>120</v>
      </c>
      <c r="C13" s="1">
        <v>4716</v>
      </c>
      <c r="E13" s="3"/>
      <c r="H13" s="9" t="s">
        <v>141</v>
      </c>
      <c r="I13" s="13">
        <v>2789</v>
      </c>
      <c r="J13" s="13">
        <v>2789</v>
      </c>
    </row>
    <row r="14" spans="1:10" x14ac:dyDescent="0.25">
      <c r="A14" s="1" t="s">
        <v>105</v>
      </c>
      <c r="B14" s="1" t="s">
        <v>109</v>
      </c>
      <c r="C14" s="1">
        <v>3083</v>
      </c>
      <c r="E14" s="3"/>
      <c r="H14" s="9" t="s">
        <v>142</v>
      </c>
      <c r="I14" s="13">
        <v>3756</v>
      </c>
      <c r="J14" s="13">
        <v>3756</v>
      </c>
    </row>
    <row r="15" spans="1:10" x14ac:dyDescent="0.25">
      <c r="A15" s="1" t="s">
        <v>105</v>
      </c>
      <c r="B15" s="1" t="s">
        <v>110</v>
      </c>
      <c r="C15" s="1">
        <v>2837</v>
      </c>
      <c r="E15" s="3"/>
      <c r="H15" s="9" t="s">
        <v>125</v>
      </c>
      <c r="I15" s="13">
        <v>40354</v>
      </c>
      <c r="J15" s="13">
        <v>3362.8333333333335</v>
      </c>
    </row>
    <row r="16" spans="1:10" x14ac:dyDescent="0.25">
      <c r="A16" s="1" t="s">
        <v>105</v>
      </c>
      <c r="B16" s="1" t="s">
        <v>111</v>
      </c>
      <c r="C16" s="1">
        <v>3756</v>
      </c>
      <c r="E16" s="3"/>
      <c r="H16"/>
      <c r="I16"/>
      <c r="J16"/>
    </row>
    <row r="17" spans="1:10" x14ac:dyDescent="0.25">
      <c r="A17" s="1" t="s">
        <v>105</v>
      </c>
      <c r="B17" s="1" t="s">
        <v>112</v>
      </c>
      <c r="C17" s="1">
        <v>2203</v>
      </c>
      <c r="E17" s="3"/>
      <c r="H17"/>
      <c r="I17"/>
      <c r="J17"/>
    </row>
    <row r="18" spans="1:10" x14ac:dyDescent="0.25">
      <c r="A18" s="1" t="s">
        <v>105</v>
      </c>
      <c r="B18" s="1" t="s">
        <v>113</v>
      </c>
      <c r="C18" s="1">
        <v>1994</v>
      </c>
      <c r="E18" s="3"/>
      <c r="H18"/>
      <c r="I18"/>
      <c r="J18"/>
    </row>
    <row r="19" spans="1:10" x14ac:dyDescent="0.25">
      <c r="A19" s="1" t="s">
        <v>105</v>
      </c>
      <c r="B19" s="1" t="s">
        <v>114</v>
      </c>
      <c r="C19" s="1">
        <v>4974</v>
      </c>
      <c r="H19"/>
      <c r="I19"/>
      <c r="J19"/>
    </row>
    <row r="20" spans="1:10" x14ac:dyDescent="0.25">
      <c r="A20" s="1" t="s">
        <v>105</v>
      </c>
      <c r="B20" s="1" t="s">
        <v>115</v>
      </c>
      <c r="C20" s="1">
        <v>1729</v>
      </c>
      <c r="H20"/>
      <c r="I20"/>
      <c r="J20"/>
    </row>
    <row r="21" spans="1:10" x14ac:dyDescent="0.25">
      <c r="A21" s="1" t="s">
        <v>105</v>
      </c>
      <c r="B21" s="1" t="s">
        <v>116</v>
      </c>
      <c r="C21" s="1">
        <v>4133</v>
      </c>
      <c r="H21"/>
      <c r="I21"/>
      <c r="J21"/>
    </row>
    <row r="22" spans="1:10" x14ac:dyDescent="0.25">
      <c r="A22" s="1" t="s">
        <v>105</v>
      </c>
      <c r="B22" s="1" t="s">
        <v>117</v>
      </c>
      <c r="C22" s="1">
        <v>1660</v>
      </c>
      <c r="H22"/>
      <c r="I22"/>
      <c r="J22"/>
    </row>
    <row r="23" spans="1:10" x14ac:dyDescent="0.25">
      <c r="A23" s="1" t="s">
        <v>105</v>
      </c>
      <c r="B23" s="1" t="s">
        <v>118</v>
      </c>
      <c r="C23" s="1">
        <v>2613</v>
      </c>
      <c r="H23"/>
      <c r="I23"/>
      <c r="J23"/>
    </row>
    <row r="24" spans="1:10" x14ac:dyDescent="0.25">
      <c r="A24" s="1" t="s">
        <v>105</v>
      </c>
      <c r="B24" s="1" t="s">
        <v>119</v>
      </c>
      <c r="C24" s="1">
        <v>3899</v>
      </c>
      <c r="H24"/>
      <c r="I24"/>
      <c r="J24"/>
    </row>
    <row r="25" spans="1:10" x14ac:dyDescent="0.25">
      <c r="A25" s="1" t="s">
        <v>105</v>
      </c>
      <c r="B25" s="1" t="s">
        <v>120</v>
      </c>
      <c r="C25" s="1">
        <v>1364</v>
      </c>
      <c r="H25"/>
      <c r="I25"/>
      <c r="J25"/>
    </row>
    <row r="26" spans="1:10" x14ac:dyDescent="0.25">
      <c r="A26" s="1" t="s">
        <v>106</v>
      </c>
      <c r="B26" s="1" t="s">
        <v>109</v>
      </c>
      <c r="C26" s="1">
        <v>3747</v>
      </c>
      <c r="H26"/>
      <c r="I26"/>
      <c r="J26"/>
    </row>
    <row r="27" spans="1:10" x14ac:dyDescent="0.25">
      <c r="A27" s="1" t="s">
        <v>106</v>
      </c>
      <c r="B27" s="1" t="s">
        <v>110</v>
      </c>
      <c r="C27" s="1">
        <v>4009</v>
      </c>
      <c r="H27"/>
      <c r="I27"/>
      <c r="J27"/>
    </row>
    <row r="28" spans="1:10" x14ac:dyDescent="0.25">
      <c r="A28" s="1" t="s">
        <v>106</v>
      </c>
      <c r="B28" s="1" t="s">
        <v>111</v>
      </c>
      <c r="C28" s="1">
        <v>1751</v>
      </c>
      <c r="H28"/>
      <c r="I28"/>
      <c r="J28"/>
    </row>
    <row r="29" spans="1:10" x14ac:dyDescent="0.25">
      <c r="A29" s="1" t="s">
        <v>106</v>
      </c>
      <c r="B29" s="1" t="s">
        <v>112</v>
      </c>
      <c r="C29" s="1">
        <v>2687</v>
      </c>
      <c r="H29"/>
      <c r="I29"/>
      <c r="J29"/>
    </row>
    <row r="30" spans="1:10" x14ac:dyDescent="0.25">
      <c r="A30" s="1" t="s">
        <v>106</v>
      </c>
      <c r="B30" s="1" t="s">
        <v>113</v>
      </c>
      <c r="C30" s="1">
        <v>4140</v>
      </c>
      <c r="H30"/>
      <c r="I30"/>
      <c r="J30"/>
    </row>
    <row r="31" spans="1:10" x14ac:dyDescent="0.25">
      <c r="A31" s="1" t="s">
        <v>106</v>
      </c>
      <c r="B31" s="1" t="s">
        <v>114</v>
      </c>
      <c r="C31" s="1">
        <v>2747</v>
      </c>
      <c r="H31"/>
      <c r="I31"/>
      <c r="J31"/>
    </row>
    <row r="32" spans="1:10" x14ac:dyDescent="0.25">
      <c r="A32" s="1" t="s">
        <v>106</v>
      </c>
      <c r="B32" s="1" t="s">
        <v>115</v>
      </c>
      <c r="C32" s="1">
        <v>2778</v>
      </c>
      <c r="H32"/>
      <c r="I32"/>
      <c r="J32"/>
    </row>
    <row r="33" spans="1:10" x14ac:dyDescent="0.25">
      <c r="A33" s="1" t="s">
        <v>106</v>
      </c>
      <c r="B33" s="1" t="s">
        <v>116</v>
      </c>
      <c r="C33" s="1">
        <v>4876</v>
      </c>
      <c r="H33"/>
      <c r="I33"/>
      <c r="J33"/>
    </row>
    <row r="34" spans="1:10" x14ac:dyDescent="0.25">
      <c r="A34" s="1" t="s">
        <v>106</v>
      </c>
      <c r="B34" s="1" t="s">
        <v>117</v>
      </c>
      <c r="C34" s="1">
        <v>2764</v>
      </c>
      <c r="H34"/>
      <c r="I34"/>
      <c r="J34"/>
    </row>
    <row r="35" spans="1:10" x14ac:dyDescent="0.25">
      <c r="A35" s="1" t="s">
        <v>106</v>
      </c>
      <c r="B35" s="1" t="s">
        <v>118</v>
      </c>
      <c r="C35" s="1">
        <v>4310</v>
      </c>
      <c r="H35"/>
      <c r="I35"/>
      <c r="J35"/>
    </row>
    <row r="36" spans="1:10" x14ac:dyDescent="0.25">
      <c r="A36" s="1" t="s">
        <v>106</v>
      </c>
      <c r="B36" s="1" t="s">
        <v>119</v>
      </c>
      <c r="C36" s="1">
        <v>2789</v>
      </c>
      <c r="H36"/>
      <c r="I36"/>
      <c r="J36"/>
    </row>
    <row r="37" spans="1:10" x14ac:dyDescent="0.25">
      <c r="A37" s="1" t="s">
        <v>106</v>
      </c>
      <c r="B37" s="1" t="s">
        <v>120</v>
      </c>
      <c r="C37" s="1">
        <v>3756</v>
      </c>
      <c r="H37"/>
      <c r="I37"/>
      <c r="J37"/>
    </row>
    <row r="38" spans="1:10" x14ac:dyDescent="0.25">
      <c r="H38"/>
      <c r="I38"/>
      <c r="J38"/>
    </row>
    <row r="39" spans="1:10" x14ac:dyDescent="0.25">
      <c r="H39"/>
      <c r="I39"/>
      <c r="J39"/>
    </row>
    <row r="40" spans="1:10" x14ac:dyDescent="0.25">
      <c r="H40"/>
      <c r="I40"/>
      <c r="J40"/>
    </row>
    <row r="41" spans="1:10" x14ac:dyDescent="0.25">
      <c r="H41"/>
      <c r="I41"/>
      <c r="J41"/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topLeftCell="A28" workbookViewId="0">
      <selection activeCell="F15" sqref="F15"/>
    </sheetView>
  </sheetViews>
  <sheetFormatPr defaultRowHeight="13.8" x14ac:dyDescent="0.25"/>
  <sheetData>
    <row r="1" spans="1:3" x14ac:dyDescent="0.25">
      <c r="A1" s="2" t="s">
        <v>101</v>
      </c>
      <c r="B1" s="2"/>
      <c r="C1" s="2" t="s">
        <v>103</v>
      </c>
    </row>
    <row r="2" spans="1:3" x14ac:dyDescent="0.25">
      <c r="A2" s="10" t="s">
        <v>104</v>
      </c>
      <c r="B2" s="1" t="s">
        <v>109</v>
      </c>
      <c r="C2" s="1">
        <v>1498</v>
      </c>
    </row>
    <row r="3" spans="1:3" x14ac:dyDescent="0.25">
      <c r="A3" s="11"/>
      <c r="B3" s="1" t="s">
        <v>110</v>
      </c>
      <c r="C3" s="1">
        <v>1066</v>
      </c>
    </row>
    <row r="4" spans="1:3" x14ac:dyDescent="0.25">
      <c r="A4" s="11"/>
      <c r="B4" s="1" t="s">
        <v>111</v>
      </c>
      <c r="C4" s="1">
        <v>1633</v>
      </c>
    </row>
    <row r="5" spans="1:3" x14ac:dyDescent="0.25">
      <c r="A5" s="11"/>
      <c r="B5" s="1" t="s">
        <v>112</v>
      </c>
      <c r="C5" s="1">
        <v>3871</v>
      </c>
    </row>
    <row r="6" spans="1:3" x14ac:dyDescent="0.25">
      <c r="A6" s="11"/>
      <c r="B6" s="1" t="s">
        <v>113</v>
      </c>
      <c r="C6" s="4" t="s">
        <v>121</v>
      </c>
    </row>
    <row r="7" spans="1:3" x14ac:dyDescent="0.25">
      <c r="A7" s="11"/>
      <c r="B7" s="1" t="s">
        <v>114</v>
      </c>
      <c r="C7" s="1">
        <v>2338</v>
      </c>
    </row>
    <row r="8" spans="1:3" x14ac:dyDescent="0.25">
      <c r="A8" s="11"/>
      <c r="B8" s="1" t="s">
        <v>115</v>
      </c>
      <c r="C8" s="1">
        <v>3592</v>
      </c>
    </row>
    <row r="9" spans="1:3" x14ac:dyDescent="0.25">
      <c r="A9" s="11"/>
      <c r="B9" s="1" t="s">
        <v>123</v>
      </c>
      <c r="C9" s="1">
        <v>1670</v>
      </c>
    </row>
    <row r="10" spans="1:3" x14ac:dyDescent="0.25">
      <c r="A10" s="11"/>
      <c r="B10" s="1" t="s">
        <v>117</v>
      </c>
      <c r="C10" s="1"/>
    </row>
    <row r="11" spans="1:3" x14ac:dyDescent="0.25">
      <c r="A11" s="11"/>
      <c r="B11" s="1" t="s">
        <v>118</v>
      </c>
      <c r="C11" s="1"/>
    </row>
    <row r="12" spans="1:3" x14ac:dyDescent="0.25">
      <c r="A12" s="11"/>
      <c r="B12" s="1" t="s">
        <v>119</v>
      </c>
      <c r="C12" s="1">
        <v>3183</v>
      </c>
    </row>
    <row r="13" spans="1:3" x14ac:dyDescent="0.25">
      <c r="A13" s="12"/>
      <c r="B13" s="1" t="s">
        <v>120</v>
      </c>
      <c r="C13" s="1">
        <v>4716</v>
      </c>
    </row>
    <row r="14" spans="1:3" x14ac:dyDescent="0.25">
      <c r="A14" s="5" t="s">
        <v>122</v>
      </c>
      <c r="B14" s="1"/>
      <c r="C14" s="1">
        <f>SUM(C2:C13)</f>
        <v>23567</v>
      </c>
    </row>
    <row r="15" spans="1:3" x14ac:dyDescent="0.25">
      <c r="A15" s="10" t="s">
        <v>105</v>
      </c>
      <c r="B15" s="1" t="s">
        <v>109</v>
      </c>
      <c r="C15" s="1">
        <v>3083</v>
      </c>
    </row>
    <row r="16" spans="1:3" x14ac:dyDescent="0.25">
      <c r="A16" s="11"/>
      <c r="B16" s="1" t="s">
        <v>110</v>
      </c>
      <c r="C16" s="1">
        <v>2837</v>
      </c>
    </row>
    <row r="17" spans="1:3" x14ac:dyDescent="0.25">
      <c r="A17" s="11"/>
      <c r="B17" s="1" t="s">
        <v>111</v>
      </c>
      <c r="C17" s="1">
        <v>3756</v>
      </c>
    </row>
    <row r="18" spans="1:3" x14ac:dyDescent="0.25">
      <c r="A18" s="11"/>
      <c r="B18" s="1" t="s">
        <v>112</v>
      </c>
      <c r="C18" s="1">
        <v>2203</v>
      </c>
    </row>
    <row r="19" spans="1:3" x14ac:dyDescent="0.25">
      <c r="A19" s="11"/>
      <c r="B19" s="1" t="s">
        <v>113</v>
      </c>
      <c r="C19" s="1">
        <v>1994</v>
      </c>
    </row>
    <row r="20" spans="1:3" x14ac:dyDescent="0.25">
      <c r="A20" s="11"/>
      <c r="B20" s="1" t="s">
        <v>114</v>
      </c>
      <c r="C20" s="1">
        <v>4974</v>
      </c>
    </row>
    <row r="21" spans="1:3" x14ac:dyDescent="0.25">
      <c r="A21" s="11"/>
      <c r="B21" s="1" t="s">
        <v>115</v>
      </c>
      <c r="C21" s="1">
        <v>1729</v>
      </c>
    </row>
    <row r="22" spans="1:3" x14ac:dyDescent="0.25">
      <c r="A22" s="11"/>
      <c r="B22" s="1" t="s">
        <v>116</v>
      </c>
      <c r="C22" s="1">
        <v>4133</v>
      </c>
    </row>
    <row r="23" spans="1:3" x14ac:dyDescent="0.25">
      <c r="A23" s="11"/>
      <c r="B23" s="1" t="s">
        <v>117</v>
      </c>
      <c r="C23" s="1">
        <v>1660</v>
      </c>
    </row>
    <row r="24" spans="1:3" x14ac:dyDescent="0.25">
      <c r="A24" s="11"/>
      <c r="B24" s="1" t="s">
        <v>118</v>
      </c>
      <c r="C24" s="1">
        <v>2613</v>
      </c>
    </row>
    <row r="25" spans="1:3" x14ac:dyDescent="0.25">
      <c r="A25" s="11"/>
      <c r="B25" s="1" t="s">
        <v>119</v>
      </c>
      <c r="C25" s="1">
        <v>3899</v>
      </c>
    </row>
    <row r="26" spans="1:3" x14ac:dyDescent="0.25">
      <c r="A26" s="12"/>
      <c r="B26" s="1" t="s">
        <v>120</v>
      </c>
      <c r="C26" s="1">
        <v>1364</v>
      </c>
    </row>
    <row r="27" spans="1:3" x14ac:dyDescent="0.25">
      <c r="A27" s="5" t="s">
        <v>122</v>
      </c>
      <c r="B27" s="1"/>
      <c r="C27" s="1">
        <f>SUM(C15:C26)</f>
        <v>34245</v>
      </c>
    </row>
    <row r="28" spans="1:3" x14ac:dyDescent="0.25">
      <c r="A28" s="10" t="s">
        <v>106</v>
      </c>
      <c r="B28" s="1" t="s">
        <v>109</v>
      </c>
      <c r="C28" s="1">
        <v>3747</v>
      </c>
    </row>
    <row r="29" spans="1:3" x14ac:dyDescent="0.25">
      <c r="A29" s="11"/>
      <c r="B29" s="1" t="s">
        <v>110</v>
      </c>
      <c r="C29" s="1">
        <v>4009</v>
      </c>
    </row>
    <row r="30" spans="1:3" x14ac:dyDescent="0.25">
      <c r="A30" s="11"/>
      <c r="B30" s="1" t="s">
        <v>111</v>
      </c>
      <c r="C30" s="1">
        <v>1751</v>
      </c>
    </row>
    <row r="31" spans="1:3" x14ac:dyDescent="0.25">
      <c r="A31" s="11"/>
      <c r="B31" s="1" t="s">
        <v>112</v>
      </c>
      <c r="C31" s="1">
        <v>2687</v>
      </c>
    </row>
    <row r="32" spans="1:3" x14ac:dyDescent="0.25">
      <c r="A32" s="11"/>
      <c r="B32" s="1" t="s">
        <v>113</v>
      </c>
      <c r="C32" s="1">
        <v>4140</v>
      </c>
    </row>
    <row r="33" spans="1:3" x14ac:dyDescent="0.25">
      <c r="A33" s="11"/>
      <c r="B33" s="1" t="s">
        <v>114</v>
      </c>
      <c r="C33" s="1">
        <v>2747</v>
      </c>
    </row>
    <row r="34" spans="1:3" x14ac:dyDescent="0.25">
      <c r="A34" s="11"/>
      <c r="B34" s="1" t="s">
        <v>115</v>
      </c>
      <c r="C34" s="1">
        <v>2778</v>
      </c>
    </row>
    <row r="35" spans="1:3" x14ac:dyDescent="0.25">
      <c r="A35" s="11"/>
      <c r="B35" s="1" t="s">
        <v>116</v>
      </c>
      <c r="C35" s="1">
        <v>4876</v>
      </c>
    </row>
    <row r="36" spans="1:3" x14ac:dyDescent="0.25">
      <c r="A36" s="11"/>
      <c r="B36" s="1" t="s">
        <v>117</v>
      </c>
      <c r="C36" s="1">
        <v>2764</v>
      </c>
    </row>
    <row r="37" spans="1:3" x14ac:dyDescent="0.25">
      <c r="A37" s="11"/>
      <c r="B37" s="1" t="s">
        <v>118</v>
      </c>
      <c r="C37" s="1">
        <v>4310</v>
      </c>
    </row>
    <row r="38" spans="1:3" x14ac:dyDescent="0.25">
      <c r="A38" s="11"/>
      <c r="B38" s="1" t="s">
        <v>119</v>
      </c>
      <c r="C38" s="1">
        <v>2789</v>
      </c>
    </row>
    <row r="39" spans="1:3" x14ac:dyDescent="0.25">
      <c r="A39" s="12"/>
      <c r="B39" s="1" t="s">
        <v>120</v>
      </c>
      <c r="C39" s="1">
        <v>3756</v>
      </c>
    </row>
    <row r="40" spans="1:3" x14ac:dyDescent="0.25">
      <c r="A40" s="1" t="s">
        <v>122</v>
      </c>
      <c r="B40" s="1"/>
      <c r="C40" s="1">
        <f>SUM(C28:C39)</f>
        <v>40354</v>
      </c>
    </row>
  </sheetData>
  <mergeCells count="3">
    <mergeCell ref="A2:A13"/>
    <mergeCell ref="A15:A26"/>
    <mergeCell ref="A28:A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成绩表</vt:lpstr>
      <vt:lpstr>营业额表</vt:lpstr>
      <vt:lpstr>数据源规范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2025-03-02T13:41:29Z</dcterms:modified>
</cp:coreProperties>
</file>