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0BF9BB50-A36E-42B2-918B-C478597871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6" r:id="rId1"/>
    <sheet name="Sheet1" sheetId="5" r:id="rId2"/>
    <sheet name="数据源" sheetId="4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<sst xmlns="http://schemas.openxmlformats.org/spreadsheetml/2006/main" count="364" uniqueCount="56">
  <si>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</si>
  <si>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</si>
  <si>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</si>
  <si>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</si>
  <si>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</si>
  <si>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</si>
  <si>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</si>
  <si>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</si>
  <si>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</si>
  <si>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</si>
  <si>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</si>
  <si>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</si>
  <si>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</si>
  <si>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</si>
  <si>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</si>
  <si>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</si>
  <si>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</si>
  <si>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</si>
  <si>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</si>
  <si>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</si>
  <si>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</si>
  <si>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</si>
  <si>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</si>
  <si>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</si>
  <si>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</si>
  <si>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</si>
  <si>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</si>
  <si>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</si>
  <si>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</si>
  <si>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</si>
  <si>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</si>
  <si>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</si>
  <si>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</si>
  <si>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</si>
  <si>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</si>
  <si>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求和项:营业额</t>
  </si>
  <si>
    <t>求和项:净利润</t>
  </si>
  <si>
    <t>奇数月总和</t>
  </si>
  <si>
    <t>偶数月总和</t>
  </si>
  <si>
    <t>求和项:净利率</t>
  </si>
  <si>
    <t>计算字段</t>
  </si>
  <si>
    <t>求解次序</t>
  </si>
  <si>
    <t>字段</t>
  </si>
  <si>
    <t>公式</t>
  </si>
  <si>
    <t>计算数据项</t>
  </si>
  <si>
    <t>数据项</t>
  </si>
  <si>
    <t>净利率</t>
  </si>
  <si>
    <t>=净利润/营业额</t>
  </si>
  <si>
    <t>=一月+三月+五月+七月+九月+十一月</t>
  </si>
  <si>
    <t>=二月+四月+六月+八月+十月+十二月</t>
  </si>
  <si>
    <t>注释:</t>
  </si>
  <si>
    <t>当有多个公式可以导致单元格被更新时，</t>
  </si>
  <si>
    <t>单元格数值取决于最终的求解次序。</t>
  </si>
  <si>
    <t>若要更改多个计算项或字段的求解次序，</t>
  </si>
  <si>
    <t>请在“选项”选项卡上的“计算”组中单击“字段”、“项目”和“设置”，然后单击“求解次序”。</t>
  </si>
  <si>
    <t>求和项:2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</si>
</sst>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left"/>
    </xf>
    <xf numFmtId="10" fontId="0" fillId="0" borderId="0" xfId="0" applyNumberFormat="1"/>
    <xf numFmtId="0" fontId="4" fillId="0" borderId="0" xfId="0" applyFont="1"/>
    <xf numFmtId="0" fontId="3" fillId="0" borderId="2" xfId="0" applyFont="1" applyBorder="1"/>
    <xf numFmtId="0" fontId="0" fillId="0" borderId="0" xfId="0" applyNumberFormat="1"/>
  </cellXfs>
  <cellStyles count="1">
    <cellStyle name="常规" xfId="0" builtinId="0"/>
  </cellStyles>
  <dxfs count="5">
    <dxf>
      <numFmt numFmtId="14" formatCode="0.00%"/>
    </dxf>
    <dxf>
      <numFmt numFmtId="14" formatCode="0.00%"/>
    </dxf>
    <dxf>
      <numFmt numFmtId="13" formatCode="0%"/>
    </dxf>
    <dxf>
      <numFmt numFmtId="176" formatCode="0.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[28  列公式 .xlsx]Sheet1!数据透视表1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求和项:营业额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46968</c:v>
                </c:pt>
                <c:pt idx="1">
                  <c:v>40314</c:v>
                </c:pt>
                <c:pt idx="2">
                  <c:v>43535</c:v>
                </c:pt>
                <c:pt idx="3">
                  <c:v>49294</c:v>
                </c:pt>
                <c:pt idx="4">
                  <c:v>48327</c:v>
                </c:pt>
                <c:pt idx="5">
                  <c:v>43322</c:v>
                </c:pt>
                <c:pt idx="6">
                  <c:v>48147</c:v>
                </c:pt>
                <c:pt idx="7">
                  <c:v>44361</c:v>
                </c:pt>
                <c:pt idx="8">
                  <c:v>48536</c:v>
                </c:pt>
                <c:pt idx="9">
                  <c:v>46108</c:v>
                </c:pt>
                <c:pt idx="10">
                  <c:v>44604</c:v>
                </c:pt>
                <c:pt idx="11">
                  <c:v>44107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9-4FC3-8B69-84B4F8872BB0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求和项:净利润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8713</c:v>
                </c:pt>
                <c:pt idx="1">
                  <c:v>9748</c:v>
                </c:pt>
                <c:pt idx="2">
                  <c:v>9181</c:v>
                </c:pt>
                <c:pt idx="3">
                  <c:v>9616</c:v>
                </c:pt>
                <c:pt idx="4">
                  <c:v>9457</c:v>
                </c:pt>
                <c:pt idx="5">
                  <c:v>10288</c:v>
                </c:pt>
                <c:pt idx="6">
                  <c:v>9380</c:v>
                </c:pt>
                <c:pt idx="7">
                  <c:v>10010</c:v>
                </c:pt>
                <c:pt idx="8">
                  <c:v>10140</c:v>
                </c:pt>
                <c:pt idx="9">
                  <c:v>9958</c:v>
                </c:pt>
                <c:pt idx="10">
                  <c:v>10950</c:v>
                </c:pt>
                <c:pt idx="11">
                  <c:v>10053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9-4FC3-8B69-84B4F8872BB0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求和项:净利率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Sheet1!$D$3:$D$14</c:f>
              <c:numCache>
                <c:formatCode>0.00%</c:formatCode>
                <c:ptCount val="12"/>
                <c:pt idx="0">
                  <c:v>0.18550928291602795</c:v>
                </c:pt>
                <c:pt idx="1">
                  <c:v>0.24180185543483654</c:v>
                </c:pt>
                <c:pt idx="2">
                  <c:v>0.210887791432181</c:v>
                </c:pt>
                <c:pt idx="3">
                  <c:v>0.19507445125167364</c:v>
                </c:pt>
                <c:pt idx="4">
                  <c:v>0.1956877108034846</c:v>
                </c:pt>
                <c:pt idx="5">
                  <c:v>0.23747749411384517</c:v>
                </c:pt>
                <c:pt idx="6">
                  <c:v>0.19482003032380002</c:v>
                </c:pt>
                <c:pt idx="7">
                  <c:v>0.22564865535042042</c:v>
                </c:pt>
                <c:pt idx="8">
                  <c:v>0.20891709246744683</c:v>
                </c:pt>
                <c:pt idx="9">
                  <c:v>0.21597119805673637</c:v>
                </c:pt>
                <c:pt idx="10">
                  <c:v>0.24549367769706754</c:v>
                </c:pt>
                <c:pt idx="11">
                  <c:v>0.22792300541864102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B9-4FC3-8B69-84B4F8872BB0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求和项:2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Sheet1!$E$3:$E$14</c:f>
              <c:numCache>
                <c:formatCode>0.00%</c:formatCode>
                <c:ptCount val="12"/>
                <c:pt idx="0">
                  <c:v>0.18550928291602795</c:v>
                </c:pt>
                <c:pt idx="1">
                  <c:v>0.24180185543483654</c:v>
                </c:pt>
                <c:pt idx="2">
                  <c:v>0.210887791432181</c:v>
                </c:pt>
                <c:pt idx="3">
                  <c:v>0.19507445125167364</c:v>
                </c:pt>
                <c:pt idx="4">
                  <c:v>0.1956877108034846</c:v>
                </c:pt>
                <c:pt idx="5">
                  <c:v>0.23747749411384517</c:v>
                </c:pt>
                <c:pt idx="6">
                  <c:v>0.19482003032380002</c:v>
                </c:pt>
                <c:pt idx="7">
                  <c:v>0.22564865535042042</c:v>
                </c:pt>
                <c:pt idx="8">
                  <c:v>0.20891709246744683</c:v>
                </c:pt>
                <c:pt idx="9">
                  <c:v>0.21597119805673637</c:v>
                </c:pt>
                <c:pt idx="10">
                  <c:v>0.24549367769706754</c:v>
                </c:pt>
                <c:pt idx="11">
                  <c:v>0.22792300541864102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B9-4FC3-8B69-84B4F8872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699663"/>
        <c:axId val="1283696303"/>
      </c:lineChart>
      <c:catAx>
        <c:axId val="128369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3696303"/>
        <c:crosses val="autoZero"/>
        <c:auto val="1"/>
        <c:lblAlgn val="ctr"/>
        <c:lblOffset val="100"/>
        <c:noMultiLvlLbl val="0"/>
      </c:catAx>
      <c:valAx>
        <c:axId val="128369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369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171450</xdr:rowOff>
    </xdr:from>
    <xdr:to>
      <xdr:col>13</xdr:col>
      <xdr:colOff>518160</xdr:colOff>
      <xdr:row>18</xdr:row>
      <xdr:rowOff>110490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0073F0B-8FFF-8294-7356-E98E1D71C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62.480138310188" createdVersion="6" refreshedVersion="6" minRefreshableVersion="3" recordCount="108" xr:uid="{00000000-000A-0000-FFFF-FFFF05000000}">
  <cacheSource type="worksheet">
    <worksheetSource ref="A1:E109" sheet="数据源" r:id="rId2"/>
  </cacheSource>
  <cacheFields count="7">
    <cacheField name="门店" numFmtId="0">
      <sharedItems count="3">
        <s v="门店A"/>
        <s v="门店B"/>
        <s v="门店C"/>
      </sharedItems>
    </cacheField>
    <cacheField name="月份" numFmtId="0">
      <sharedItems count="14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  <s v="奇数月总和" f="1"/>
        <s v="偶数月总和" f="1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 count="106">
        <n v="3955"/>
        <n v="3973"/>
        <n v="3826"/>
        <n v="3421"/>
        <n v="4550"/>
        <n v="3297"/>
        <n v="3028"/>
        <n v="4785"/>
        <n v="4046"/>
        <n v="4548"/>
        <n v="4556"/>
        <n v="4870"/>
        <n v="4290"/>
        <n v="4816"/>
        <n v="3256"/>
        <n v="4756"/>
        <n v="3173"/>
        <n v="3047"/>
        <n v="4419"/>
        <n v="4199"/>
        <n v="4545"/>
        <n v="4322"/>
        <n v="4929"/>
        <n v="4174"/>
        <n v="4614"/>
        <n v="4636"/>
        <n v="4921"/>
        <n v="3895"/>
        <n v="4859"/>
        <n v="4182"/>
        <n v="3940"/>
        <n v="4353"/>
        <n v="3428"/>
        <n v="3134"/>
        <n v="3596"/>
        <n v="4348"/>
        <n v="4907"/>
        <n v="5932"/>
        <n v="4634"/>
        <n v="4510"/>
        <n v="3997"/>
        <n v="5003"/>
        <n v="4147"/>
        <n v="4546"/>
        <n v="5919"/>
        <n v="5907"/>
        <n v="3188"/>
        <n v="5914"/>
        <n v="4090"/>
        <n v="5318"/>
        <n v="5922"/>
        <n v="4562"/>
        <n v="3351"/>
        <n v="4662"/>
        <n v="5261"/>
        <n v="3183"/>
        <n v="3315"/>
        <n v="3031"/>
        <n v="4110"/>
        <n v="4507"/>
        <n v="3483"/>
        <n v="5867"/>
        <n v="4343"/>
        <n v="5346"/>
        <n v="3099"/>
        <n v="4368"/>
        <n v="5541"/>
        <n v="3397"/>
        <n v="4763"/>
        <n v="3674"/>
        <n v="4474"/>
        <n v="6251"/>
        <n v="6027"/>
        <n v="7463"/>
        <n v="5180"/>
        <n v="5019"/>
        <n v="5337"/>
        <n v="5438"/>
        <n v="6289"/>
        <n v="6199"/>
        <n v="7160"/>
        <n v="6952"/>
        <n v="7615"/>
        <n v="5317"/>
        <n v="7703"/>
        <n v="6382"/>
        <n v="6900"/>
        <n v="6489"/>
        <n v="7863"/>
        <n v="7629"/>
        <n v="7733"/>
        <n v="6025"/>
        <n v="6893"/>
        <n v="6370"/>
        <n v="6762"/>
        <n v="5925"/>
        <n v="7985"/>
        <n v="7468"/>
        <n v="6096"/>
        <n v="6795"/>
        <n v="6508"/>
        <n v="6254"/>
        <n v="6420"/>
        <n v="7521"/>
        <n v="5987"/>
        <n v="6588"/>
      </sharedItems>
    </cacheField>
    <cacheField name="净利润" numFmtId="0">
      <sharedItems containsSemiMixedTypes="0" containsString="0" containsNumber="1" containsInteger="1" minValue="322" maxValue="1995" count="102">
        <n v="578"/>
        <n v="329"/>
        <n v="337"/>
        <n v="727"/>
        <n v="898"/>
        <n v="525"/>
        <n v="659"/>
        <n v="718"/>
        <n v="335"/>
        <n v="658"/>
        <n v="896"/>
        <n v="376"/>
        <n v="434"/>
        <n v="519"/>
        <n v="322"/>
        <n v="345"/>
        <n v="357"/>
        <n v="732"/>
        <n v="610"/>
        <n v="380"/>
        <n v="535"/>
        <n v="929"/>
        <n v="806"/>
        <n v="408"/>
        <n v="877"/>
        <n v="887"/>
        <n v="367"/>
        <n v="566"/>
        <n v="509"/>
        <n v="591"/>
        <n v="913"/>
        <n v="827"/>
        <n v="510"/>
        <n v="521"/>
        <n v="809"/>
        <n v="882"/>
        <n v="1074"/>
        <n v="972"/>
        <n v="834"/>
        <n v="849"/>
        <n v="1174"/>
        <n v="1169"/>
        <n v="855"/>
        <n v="1051"/>
        <n v="1073"/>
        <n v="861"/>
        <n v="902"/>
        <n v="833"/>
        <n v="852"/>
        <n v="1034"/>
        <n v="1149"/>
        <n v="1101"/>
        <n v="1133"/>
        <n v="1052"/>
        <n v="1025"/>
        <n v="988"/>
        <n v="1028"/>
        <n v="1193"/>
        <n v="820"/>
        <n v="1048"/>
        <n v="1007"/>
        <n v="878"/>
        <n v="994"/>
        <n v="930"/>
        <n v="1045"/>
        <n v="1180"/>
        <n v="1164"/>
        <n v="1183"/>
        <n v="1728"/>
        <n v="1268"/>
        <n v="1545"/>
        <n v="1969"/>
        <n v="1493"/>
        <n v="1279"/>
        <n v="1385"/>
        <n v="1425"/>
        <n v="1584"/>
        <n v="1820"/>
        <n v="1529"/>
        <n v="1501"/>
        <n v="1635"/>
        <n v="1833"/>
        <n v="1995"/>
        <n v="1991"/>
        <n v="1913"/>
        <n v="1567"/>
        <n v="1288"/>
        <n v="1621"/>
        <n v="1881"/>
        <n v="1285"/>
        <n v="1870"/>
        <n v="1671"/>
        <n v="1356"/>
        <n v="1782"/>
        <n v="1407"/>
        <n v="1777"/>
        <n v="1880"/>
        <n v="1890"/>
        <n v="1850"/>
        <n v="1548"/>
        <n v="1799"/>
        <n v="1581"/>
      </sharedItems>
    </cacheField>
    <cacheField name="净利率" numFmtId="0" formula="净利润/营业额" databaseField="0"/>
    <cacheField name="2" numFmtId="0" formula="净利润 /营业额" databaseField="0"/>
  </cacheFields>
  <calculatedItems count="2">
    <calculatedItem formula="月份[一月]+月份[三月]+月份[五月]+月份[七月]+月份[九月]+月份[十一月]">
      <pivotArea cacheIndex="1" outline="0" fieldPosition="0">
        <references count="1">
          <reference field="1" count="1">
            <x v="12"/>
          </reference>
        </references>
      </pivotArea>
    </calculatedItem>
    <calculatedItem formula="月份[二月]+月份[四月]+月份[六月]+月份[八月]+月份[十月]+月份[十二月]">
      <pivotArea cacheIndex="1" outline="0" fieldPosition="0">
        <references count="1">
          <reference field="1" count="1">
            <x v="1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x v="0"/>
    <x v="0"/>
  </r>
  <r>
    <x v="0"/>
    <x v="0"/>
    <x v="1"/>
    <x v="1"/>
    <x v="1"/>
  </r>
  <r>
    <x v="0"/>
    <x v="0"/>
    <x v="2"/>
    <x v="2"/>
    <x v="2"/>
  </r>
  <r>
    <x v="0"/>
    <x v="1"/>
    <x v="0"/>
    <x v="3"/>
    <x v="3"/>
  </r>
  <r>
    <x v="0"/>
    <x v="1"/>
    <x v="1"/>
    <x v="4"/>
    <x v="4"/>
  </r>
  <r>
    <x v="0"/>
    <x v="1"/>
    <x v="2"/>
    <x v="5"/>
    <x v="5"/>
  </r>
  <r>
    <x v="0"/>
    <x v="2"/>
    <x v="0"/>
    <x v="6"/>
    <x v="6"/>
  </r>
  <r>
    <x v="0"/>
    <x v="2"/>
    <x v="1"/>
    <x v="7"/>
    <x v="7"/>
  </r>
  <r>
    <x v="0"/>
    <x v="2"/>
    <x v="2"/>
    <x v="8"/>
    <x v="8"/>
  </r>
  <r>
    <x v="0"/>
    <x v="3"/>
    <x v="0"/>
    <x v="9"/>
    <x v="9"/>
  </r>
  <r>
    <x v="0"/>
    <x v="3"/>
    <x v="1"/>
    <x v="10"/>
    <x v="10"/>
  </r>
  <r>
    <x v="0"/>
    <x v="3"/>
    <x v="2"/>
    <x v="11"/>
    <x v="11"/>
  </r>
  <r>
    <x v="0"/>
    <x v="4"/>
    <x v="0"/>
    <x v="12"/>
    <x v="12"/>
  </r>
  <r>
    <x v="0"/>
    <x v="4"/>
    <x v="1"/>
    <x v="13"/>
    <x v="13"/>
  </r>
  <r>
    <x v="0"/>
    <x v="4"/>
    <x v="2"/>
    <x v="14"/>
    <x v="14"/>
  </r>
  <r>
    <x v="0"/>
    <x v="5"/>
    <x v="0"/>
    <x v="15"/>
    <x v="15"/>
  </r>
  <r>
    <x v="0"/>
    <x v="5"/>
    <x v="1"/>
    <x v="16"/>
    <x v="16"/>
  </r>
  <r>
    <x v="0"/>
    <x v="5"/>
    <x v="2"/>
    <x v="17"/>
    <x v="17"/>
  </r>
  <r>
    <x v="0"/>
    <x v="6"/>
    <x v="0"/>
    <x v="18"/>
    <x v="18"/>
  </r>
  <r>
    <x v="0"/>
    <x v="6"/>
    <x v="1"/>
    <x v="19"/>
    <x v="19"/>
  </r>
  <r>
    <x v="0"/>
    <x v="6"/>
    <x v="2"/>
    <x v="20"/>
    <x v="20"/>
  </r>
  <r>
    <x v="0"/>
    <x v="7"/>
    <x v="0"/>
    <x v="21"/>
    <x v="21"/>
  </r>
  <r>
    <x v="0"/>
    <x v="7"/>
    <x v="1"/>
    <x v="22"/>
    <x v="22"/>
  </r>
  <r>
    <x v="0"/>
    <x v="7"/>
    <x v="2"/>
    <x v="23"/>
    <x v="23"/>
  </r>
  <r>
    <x v="0"/>
    <x v="8"/>
    <x v="0"/>
    <x v="24"/>
    <x v="24"/>
  </r>
  <r>
    <x v="0"/>
    <x v="8"/>
    <x v="1"/>
    <x v="25"/>
    <x v="4"/>
  </r>
  <r>
    <x v="0"/>
    <x v="8"/>
    <x v="2"/>
    <x v="26"/>
    <x v="25"/>
  </r>
  <r>
    <x v="0"/>
    <x v="9"/>
    <x v="0"/>
    <x v="27"/>
    <x v="26"/>
  </r>
  <r>
    <x v="0"/>
    <x v="9"/>
    <x v="1"/>
    <x v="28"/>
    <x v="27"/>
  </r>
  <r>
    <x v="0"/>
    <x v="9"/>
    <x v="2"/>
    <x v="29"/>
    <x v="28"/>
  </r>
  <r>
    <x v="0"/>
    <x v="10"/>
    <x v="0"/>
    <x v="30"/>
    <x v="29"/>
  </r>
  <r>
    <x v="0"/>
    <x v="10"/>
    <x v="1"/>
    <x v="31"/>
    <x v="30"/>
  </r>
  <r>
    <x v="0"/>
    <x v="10"/>
    <x v="2"/>
    <x v="32"/>
    <x v="31"/>
  </r>
  <r>
    <x v="0"/>
    <x v="11"/>
    <x v="0"/>
    <x v="33"/>
    <x v="32"/>
  </r>
  <r>
    <x v="0"/>
    <x v="11"/>
    <x v="1"/>
    <x v="34"/>
    <x v="33"/>
  </r>
  <r>
    <x v="0"/>
    <x v="11"/>
    <x v="2"/>
    <x v="35"/>
    <x v="34"/>
  </r>
  <r>
    <x v="1"/>
    <x v="0"/>
    <x v="0"/>
    <x v="36"/>
    <x v="35"/>
  </r>
  <r>
    <x v="1"/>
    <x v="0"/>
    <x v="1"/>
    <x v="37"/>
    <x v="36"/>
  </r>
  <r>
    <x v="1"/>
    <x v="0"/>
    <x v="2"/>
    <x v="38"/>
    <x v="37"/>
  </r>
  <r>
    <x v="1"/>
    <x v="1"/>
    <x v="0"/>
    <x v="39"/>
    <x v="38"/>
  </r>
  <r>
    <x v="1"/>
    <x v="1"/>
    <x v="1"/>
    <x v="40"/>
    <x v="39"/>
  </r>
  <r>
    <x v="1"/>
    <x v="1"/>
    <x v="2"/>
    <x v="41"/>
    <x v="40"/>
  </r>
  <r>
    <x v="1"/>
    <x v="2"/>
    <x v="0"/>
    <x v="42"/>
    <x v="41"/>
  </r>
  <r>
    <x v="1"/>
    <x v="2"/>
    <x v="1"/>
    <x v="43"/>
    <x v="42"/>
  </r>
  <r>
    <x v="1"/>
    <x v="2"/>
    <x v="2"/>
    <x v="44"/>
    <x v="43"/>
  </r>
  <r>
    <x v="1"/>
    <x v="3"/>
    <x v="0"/>
    <x v="45"/>
    <x v="44"/>
  </r>
  <r>
    <x v="1"/>
    <x v="3"/>
    <x v="1"/>
    <x v="46"/>
    <x v="45"/>
  </r>
  <r>
    <x v="1"/>
    <x v="3"/>
    <x v="2"/>
    <x v="47"/>
    <x v="46"/>
  </r>
  <r>
    <x v="1"/>
    <x v="4"/>
    <x v="0"/>
    <x v="48"/>
    <x v="47"/>
  </r>
  <r>
    <x v="1"/>
    <x v="4"/>
    <x v="1"/>
    <x v="49"/>
    <x v="48"/>
  </r>
  <r>
    <x v="1"/>
    <x v="4"/>
    <x v="2"/>
    <x v="50"/>
    <x v="49"/>
  </r>
  <r>
    <x v="1"/>
    <x v="5"/>
    <x v="0"/>
    <x v="51"/>
    <x v="50"/>
  </r>
  <r>
    <x v="1"/>
    <x v="5"/>
    <x v="1"/>
    <x v="52"/>
    <x v="51"/>
  </r>
  <r>
    <x v="1"/>
    <x v="5"/>
    <x v="2"/>
    <x v="53"/>
    <x v="52"/>
  </r>
  <r>
    <x v="1"/>
    <x v="6"/>
    <x v="0"/>
    <x v="54"/>
    <x v="53"/>
  </r>
  <r>
    <x v="1"/>
    <x v="6"/>
    <x v="1"/>
    <x v="55"/>
    <x v="54"/>
  </r>
  <r>
    <x v="1"/>
    <x v="6"/>
    <x v="2"/>
    <x v="56"/>
    <x v="55"/>
  </r>
  <r>
    <x v="1"/>
    <x v="7"/>
    <x v="0"/>
    <x v="57"/>
    <x v="56"/>
  </r>
  <r>
    <x v="1"/>
    <x v="7"/>
    <x v="1"/>
    <x v="58"/>
    <x v="57"/>
  </r>
  <r>
    <x v="1"/>
    <x v="7"/>
    <x v="2"/>
    <x v="59"/>
    <x v="58"/>
  </r>
  <r>
    <x v="1"/>
    <x v="8"/>
    <x v="0"/>
    <x v="60"/>
    <x v="59"/>
  </r>
  <r>
    <x v="1"/>
    <x v="8"/>
    <x v="1"/>
    <x v="61"/>
    <x v="60"/>
  </r>
  <r>
    <x v="1"/>
    <x v="8"/>
    <x v="2"/>
    <x v="62"/>
    <x v="61"/>
  </r>
  <r>
    <x v="1"/>
    <x v="9"/>
    <x v="0"/>
    <x v="63"/>
    <x v="62"/>
  </r>
  <r>
    <x v="1"/>
    <x v="9"/>
    <x v="1"/>
    <x v="64"/>
    <x v="63"/>
  </r>
  <r>
    <x v="1"/>
    <x v="9"/>
    <x v="2"/>
    <x v="65"/>
    <x v="64"/>
  </r>
  <r>
    <x v="1"/>
    <x v="10"/>
    <x v="0"/>
    <x v="66"/>
    <x v="60"/>
  </r>
  <r>
    <x v="1"/>
    <x v="10"/>
    <x v="1"/>
    <x v="67"/>
    <x v="65"/>
  </r>
  <r>
    <x v="1"/>
    <x v="10"/>
    <x v="2"/>
    <x v="68"/>
    <x v="66"/>
  </r>
  <r>
    <x v="1"/>
    <x v="11"/>
    <x v="0"/>
    <x v="69"/>
    <x v="35"/>
  </r>
  <r>
    <x v="1"/>
    <x v="11"/>
    <x v="1"/>
    <x v="70"/>
    <x v="67"/>
  </r>
  <r>
    <x v="1"/>
    <x v="11"/>
    <x v="2"/>
    <x v="7"/>
    <x v="25"/>
  </r>
  <r>
    <x v="2"/>
    <x v="0"/>
    <x v="0"/>
    <x v="71"/>
    <x v="68"/>
  </r>
  <r>
    <x v="2"/>
    <x v="0"/>
    <x v="1"/>
    <x v="72"/>
    <x v="69"/>
  </r>
  <r>
    <x v="2"/>
    <x v="0"/>
    <x v="2"/>
    <x v="73"/>
    <x v="70"/>
  </r>
  <r>
    <x v="2"/>
    <x v="1"/>
    <x v="0"/>
    <x v="74"/>
    <x v="71"/>
  </r>
  <r>
    <x v="2"/>
    <x v="1"/>
    <x v="1"/>
    <x v="75"/>
    <x v="72"/>
  </r>
  <r>
    <x v="2"/>
    <x v="1"/>
    <x v="2"/>
    <x v="76"/>
    <x v="73"/>
  </r>
  <r>
    <x v="2"/>
    <x v="2"/>
    <x v="0"/>
    <x v="77"/>
    <x v="74"/>
  </r>
  <r>
    <x v="2"/>
    <x v="2"/>
    <x v="1"/>
    <x v="78"/>
    <x v="75"/>
  </r>
  <r>
    <x v="2"/>
    <x v="2"/>
    <x v="2"/>
    <x v="76"/>
    <x v="76"/>
  </r>
  <r>
    <x v="2"/>
    <x v="3"/>
    <x v="0"/>
    <x v="79"/>
    <x v="77"/>
  </r>
  <r>
    <x v="2"/>
    <x v="3"/>
    <x v="1"/>
    <x v="80"/>
    <x v="78"/>
  </r>
  <r>
    <x v="2"/>
    <x v="3"/>
    <x v="2"/>
    <x v="81"/>
    <x v="79"/>
  </r>
  <r>
    <x v="2"/>
    <x v="4"/>
    <x v="0"/>
    <x v="82"/>
    <x v="80"/>
  </r>
  <r>
    <x v="2"/>
    <x v="4"/>
    <x v="1"/>
    <x v="83"/>
    <x v="81"/>
  </r>
  <r>
    <x v="2"/>
    <x v="4"/>
    <x v="2"/>
    <x v="84"/>
    <x v="82"/>
  </r>
  <r>
    <x v="2"/>
    <x v="5"/>
    <x v="0"/>
    <x v="85"/>
    <x v="83"/>
  </r>
  <r>
    <x v="2"/>
    <x v="5"/>
    <x v="1"/>
    <x v="86"/>
    <x v="84"/>
  </r>
  <r>
    <x v="2"/>
    <x v="5"/>
    <x v="2"/>
    <x v="87"/>
    <x v="85"/>
  </r>
  <r>
    <x v="2"/>
    <x v="6"/>
    <x v="0"/>
    <x v="88"/>
    <x v="86"/>
  </r>
  <r>
    <x v="2"/>
    <x v="6"/>
    <x v="1"/>
    <x v="89"/>
    <x v="87"/>
  </r>
  <r>
    <x v="2"/>
    <x v="6"/>
    <x v="2"/>
    <x v="90"/>
    <x v="88"/>
  </r>
  <r>
    <x v="2"/>
    <x v="7"/>
    <x v="0"/>
    <x v="91"/>
    <x v="89"/>
  </r>
  <r>
    <x v="2"/>
    <x v="7"/>
    <x v="1"/>
    <x v="92"/>
    <x v="90"/>
  </r>
  <r>
    <x v="2"/>
    <x v="7"/>
    <x v="2"/>
    <x v="93"/>
    <x v="91"/>
  </r>
  <r>
    <x v="2"/>
    <x v="8"/>
    <x v="0"/>
    <x v="94"/>
    <x v="92"/>
  </r>
  <r>
    <x v="2"/>
    <x v="8"/>
    <x v="1"/>
    <x v="95"/>
    <x v="93"/>
  </r>
  <r>
    <x v="2"/>
    <x v="8"/>
    <x v="2"/>
    <x v="96"/>
    <x v="94"/>
  </r>
  <r>
    <x v="2"/>
    <x v="9"/>
    <x v="0"/>
    <x v="97"/>
    <x v="95"/>
  </r>
  <r>
    <x v="2"/>
    <x v="9"/>
    <x v="1"/>
    <x v="98"/>
    <x v="96"/>
  </r>
  <r>
    <x v="2"/>
    <x v="9"/>
    <x v="2"/>
    <x v="99"/>
    <x v="97"/>
  </r>
  <r>
    <x v="2"/>
    <x v="10"/>
    <x v="0"/>
    <x v="100"/>
    <x v="98"/>
  </r>
  <r>
    <x v="2"/>
    <x v="10"/>
    <x v="1"/>
    <x v="101"/>
    <x v="99"/>
  </r>
  <r>
    <x v="2"/>
    <x v="10"/>
    <x v="2"/>
    <x v="102"/>
    <x v="90"/>
  </r>
  <r>
    <x v="2"/>
    <x v="11"/>
    <x v="0"/>
    <x v="103"/>
    <x v="100"/>
  </r>
  <r>
    <x v="2"/>
    <x v="11"/>
    <x v="1"/>
    <x v="104"/>
    <x v="88"/>
  </r>
  <r>
    <x v="2"/>
    <x v="11"/>
    <x v="2"/>
    <x v="105"/>
    <x v="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数据透视表1" cacheId="4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6" indent="0" showHeaders="0" outline="1" outlineData="1" multipleFieldFilters="0" chartFormat="4">
  <location ref="A2:E14" firstHeaderRow="0" firstDataRow="1" firstDataCol="1"/>
  <pivotFields count="7">
    <pivotField showAll="0">
      <items count="4">
        <item x="0"/>
        <item x="1"/>
        <item x="2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f="1" x="12"/>
        <item h="1" f="1" x="1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107">
        <item x="6"/>
        <item x="57"/>
        <item x="17"/>
        <item x="64"/>
        <item x="33"/>
        <item x="16"/>
        <item x="55"/>
        <item x="46"/>
        <item x="14"/>
        <item x="5"/>
        <item x="56"/>
        <item x="52"/>
        <item x="67"/>
        <item x="3"/>
        <item x="32"/>
        <item x="60"/>
        <item x="34"/>
        <item x="69"/>
        <item x="2"/>
        <item x="27"/>
        <item x="30"/>
        <item x="0"/>
        <item x="1"/>
        <item x="40"/>
        <item x="8"/>
        <item x="48"/>
        <item x="58"/>
        <item x="42"/>
        <item x="23"/>
        <item x="29"/>
        <item x="19"/>
        <item x="12"/>
        <item x="21"/>
        <item x="62"/>
        <item x="35"/>
        <item x="31"/>
        <item x="65"/>
        <item x="18"/>
        <item x="70"/>
        <item x="59"/>
        <item x="39"/>
        <item x="20"/>
        <item x="43"/>
        <item x="9"/>
        <item x="4"/>
        <item x="10"/>
        <item x="51"/>
        <item x="24"/>
        <item x="38"/>
        <item x="25"/>
        <item x="53"/>
        <item x="15"/>
        <item x="68"/>
        <item x="7"/>
        <item x="13"/>
        <item x="28"/>
        <item x="11"/>
        <item x="36"/>
        <item x="26"/>
        <item x="22"/>
        <item x="41"/>
        <item x="75"/>
        <item x="74"/>
        <item x="54"/>
        <item x="83"/>
        <item x="49"/>
        <item x="76"/>
        <item x="63"/>
        <item x="77"/>
        <item x="66"/>
        <item x="61"/>
        <item x="45"/>
        <item x="47"/>
        <item x="44"/>
        <item x="50"/>
        <item x="95"/>
        <item x="37"/>
        <item x="104"/>
        <item x="91"/>
        <item x="72"/>
        <item x="98"/>
        <item x="79"/>
        <item x="71"/>
        <item x="101"/>
        <item x="78"/>
        <item x="93"/>
        <item x="85"/>
        <item x="102"/>
        <item x="87"/>
        <item x="100"/>
        <item x="105"/>
        <item x="94"/>
        <item x="99"/>
        <item x="92"/>
        <item x="86"/>
        <item x="81"/>
        <item x="80"/>
        <item x="73"/>
        <item x="97"/>
        <item x="103"/>
        <item x="82"/>
        <item x="89"/>
        <item x="84"/>
        <item x="90"/>
        <item x="88"/>
        <item x="96"/>
        <item t="default"/>
      </items>
    </pivotField>
    <pivotField dataField="1" showAll="0">
      <items count="103">
        <item x="14"/>
        <item x="1"/>
        <item x="8"/>
        <item x="2"/>
        <item x="15"/>
        <item x="16"/>
        <item x="26"/>
        <item x="11"/>
        <item x="19"/>
        <item x="23"/>
        <item x="12"/>
        <item x="28"/>
        <item x="32"/>
        <item x="13"/>
        <item x="33"/>
        <item x="5"/>
        <item x="20"/>
        <item x="27"/>
        <item x="0"/>
        <item x="29"/>
        <item x="18"/>
        <item x="9"/>
        <item x="6"/>
        <item x="7"/>
        <item x="3"/>
        <item x="17"/>
        <item x="22"/>
        <item x="34"/>
        <item x="58"/>
        <item x="31"/>
        <item x="47"/>
        <item x="38"/>
        <item x="39"/>
        <item x="48"/>
        <item x="42"/>
        <item x="45"/>
        <item x="24"/>
        <item x="61"/>
        <item x="35"/>
        <item x="25"/>
        <item x="10"/>
        <item x="4"/>
        <item x="46"/>
        <item x="30"/>
        <item x="21"/>
        <item x="63"/>
        <item x="37"/>
        <item x="55"/>
        <item x="62"/>
        <item x="60"/>
        <item x="54"/>
        <item x="56"/>
        <item x="49"/>
        <item x="64"/>
        <item x="59"/>
        <item x="43"/>
        <item x="53"/>
        <item x="44"/>
        <item x="36"/>
        <item x="51"/>
        <item x="52"/>
        <item x="50"/>
        <item x="66"/>
        <item x="41"/>
        <item x="40"/>
        <item x="65"/>
        <item x="67"/>
        <item x="57"/>
        <item x="69"/>
        <item x="73"/>
        <item x="89"/>
        <item x="86"/>
        <item x="92"/>
        <item x="74"/>
        <item x="94"/>
        <item x="75"/>
        <item x="72"/>
        <item x="79"/>
        <item x="78"/>
        <item x="70"/>
        <item x="99"/>
        <item x="85"/>
        <item x="101"/>
        <item x="76"/>
        <item x="87"/>
        <item x="80"/>
        <item x="91"/>
        <item x="68"/>
        <item x="95"/>
        <item x="93"/>
        <item x="100"/>
        <item x="77"/>
        <item x="81"/>
        <item x="98"/>
        <item x="90"/>
        <item x="96"/>
        <item x="88"/>
        <item x="97"/>
        <item x="84"/>
        <item x="71"/>
        <item x="83"/>
        <item x="82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营业额" fld="3" baseField="0" baseItem="0"/>
    <dataField name="求和项:净利润" fld="4" baseField="0" baseItem="0"/>
    <dataField name="求和项:净利率" fld="5" baseField="0" baseItem="0" numFmtId="10"/>
    <dataField name="求和项:2" fld="6" baseField="0" baseItem="0" numFmtId="10"/>
  </dataFields>
  <formats count="5"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3"/>
          </reference>
          <reference field="1" count="1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3.8" x14ac:dyDescent="0.25"/>
  <cols>
    <col min="1" max="1" width="11.109375" bestFit="1" customWidth="1"/>
    <col min="2" max="2" width="10.44140625" bestFit="1" customWidth="1"/>
    <col min="3" max="3" width="34" bestFit="1" customWidth="1"/>
  </cols>
  <sheetData>
    <row r="1" spans="1:3" x14ac:dyDescent="0.25">
      <c r="A1" s="5" t="s">
        <v>40</v>
      </c>
    </row>
    <row r="2" spans="1:3" x14ac:dyDescent="0.25">
      <c r="A2" s="6" t="s">
        <v>41</v>
      </c>
      <c r="B2" s="6" t="s">
        <v>42</v>
      </c>
      <c r="C2" s="6" t="s">
        <v>43</v>
      </c>
    </row>
    <row r="3" spans="1:3" x14ac:dyDescent="0.25">
      <c r="A3">
        <v>1</v>
      </c>
      <c r="B3" t="s">
        <v>46</v>
      </c>
      <c r="C3" t="s">
        <v>47</v>
      </c>
    </row>
    <row r="5" spans="1:3" x14ac:dyDescent="0.25">
      <c r="A5" s="5" t="s">
        <v>44</v>
      </c>
    </row>
    <row r="6" spans="1:3" x14ac:dyDescent="0.25">
      <c r="A6" s="6" t="s">
        <v>41</v>
      </c>
      <c r="B6" s="6" t="s">
        <v>45</v>
      </c>
      <c r="C6" s="6" t="s">
        <v>43</v>
      </c>
    </row>
    <row r="7" spans="1:3" x14ac:dyDescent="0.25">
      <c r="A7">
        <v>1</v>
      </c>
      <c r="B7" t="s">
        <v>37</v>
      </c>
      <c r="C7" t="s">
        <v>48</v>
      </c>
    </row>
    <row r="8" spans="1:3" x14ac:dyDescent="0.25">
      <c r="A8">
        <v>2</v>
      </c>
      <c r="B8" t="s">
        <v>38</v>
      </c>
      <c r="C8" t="s">
        <v>49</v>
      </c>
    </row>
    <row r="11" spans="1:3" x14ac:dyDescent="0.25">
      <c r="A11" s="5" t="s">
        <v>50</v>
      </c>
      <c r="B11" t="s">
        <v>51</v>
      </c>
    </row>
    <row r="12" spans="1:3" x14ac:dyDescent="0.25">
      <c r="B12" t="s">
        <v>52</v>
      </c>
    </row>
    <row r="14" spans="1:3" x14ac:dyDescent="0.25">
      <c r="B14" t="s">
        <v>53</v>
      </c>
    </row>
    <row r="15" spans="1:3" x14ac:dyDescent="0.25">
      <c r="B15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6"/>
  <sheetViews>
    <sheetView tabSelected="1" workbookViewId="0">
      <selection activeCell="C5" sqref="C5"/>
    </sheetView>
  </sheetViews>
  <sheetFormatPr defaultRowHeight="13.8" x14ac:dyDescent="0.25"/>
  <cols>
    <col min="1" max="1" width="7.5546875" bestFit="1" customWidth="1"/>
    <col min="2" max="4" width="14.33203125" bestFit="1" customWidth="1"/>
    <col min="5" max="5" width="12.77734375" bestFit="1" customWidth="1"/>
    <col min="6" max="6" width="10.5546875" customWidth="1"/>
    <col min="9" max="9" width="11.88671875" customWidth="1"/>
  </cols>
  <sheetData>
    <row r="2" spans="1:9" x14ac:dyDescent="0.25">
      <c r="B2" t="s">
        <v>35</v>
      </c>
      <c r="C2" t="s">
        <v>36</v>
      </c>
      <c r="D2" t="s">
        <v>39</v>
      </c>
      <c r="E2" t="s">
        <v>55</v>
      </c>
    </row>
    <row r="3" spans="1:9" x14ac:dyDescent="0.25">
      <c r="A3" s="3" t="s">
        <v>4</v>
      </c>
      <c r="B3" s="7">
        <v>46968</v>
      </c>
      <c r="C3" s="7">
        <v>8713</v>
      </c>
      <c r="D3" s="4">
        <v>0.18550928291602795</v>
      </c>
      <c r="E3" s="4">
        <v>0.18550928291602795</v>
      </c>
      <c r="I3" s="4"/>
    </row>
    <row r="4" spans="1:9" x14ac:dyDescent="0.25">
      <c r="A4" s="3" t="s">
        <v>6</v>
      </c>
      <c r="B4" s="7">
        <v>40314</v>
      </c>
      <c r="C4" s="7">
        <v>9748</v>
      </c>
      <c r="D4" s="4">
        <v>0.24180185543483654</v>
      </c>
      <c r="E4" s="4">
        <v>0.24180185543483654</v>
      </c>
      <c r="I4" s="4"/>
    </row>
    <row r="5" spans="1:9" x14ac:dyDescent="0.25">
      <c r="A5" s="3" t="s">
        <v>8</v>
      </c>
      <c r="B5" s="7">
        <v>43535</v>
      </c>
      <c r="C5" s="7">
        <v>9181</v>
      </c>
      <c r="D5" s="4">
        <v>0.210887791432181</v>
      </c>
      <c r="E5" s="4">
        <v>0.210887791432181</v>
      </c>
      <c r="I5" s="4"/>
    </row>
    <row r="6" spans="1:9" x14ac:dyDescent="0.25">
      <c r="A6" s="3" t="s">
        <v>10</v>
      </c>
      <c r="B6" s="7">
        <v>49294</v>
      </c>
      <c r="C6" s="7">
        <v>9616</v>
      </c>
      <c r="D6" s="4">
        <v>0.19507445125167364</v>
      </c>
      <c r="E6" s="4">
        <v>0.19507445125167364</v>
      </c>
      <c r="I6" s="4"/>
    </row>
    <row r="7" spans="1:9" x14ac:dyDescent="0.25">
      <c r="A7" s="3" t="s">
        <v>12</v>
      </c>
      <c r="B7" s="7">
        <v>48327</v>
      </c>
      <c r="C7" s="7">
        <v>9457</v>
      </c>
      <c r="D7" s="4">
        <v>0.1956877108034846</v>
      </c>
      <c r="E7" s="4">
        <v>0.1956877108034846</v>
      </c>
      <c r="I7" s="4"/>
    </row>
    <row r="8" spans="1:9" x14ac:dyDescent="0.25">
      <c r="A8" s="3" t="s">
        <v>14</v>
      </c>
      <c r="B8" s="7">
        <v>43322</v>
      </c>
      <c r="C8" s="7">
        <v>10288</v>
      </c>
      <c r="D8" s="4">
        <v>0.23747749411384517</v>
      </c>
      <c r="E8" s="4">
        <v>0.23747749411384517</v>
      </c>
      <c r="I8" s="4"/>
    </row>
    <row r="9" spans="1:9" x14ac:dyDescent="0.25">
      <c r="A9" s="3" t="s">
        <v>16</v>
      </c>
      <c r="B9" s="7">
        <v>48147</v>
      </c>
      <c r="C9" s="7">
        <v>9380</v>
      </c>
      <c r="D9" s="4">
        <v>0.19482003032380002</v>
      </c>
      <c r="E9" s="4">
        <v>0.19482003032380002</v>
      </c>
      <c r="I9" s="4"/>
    </row>
    <row r="10" spans="1:9" x14ac:dyDescent="0.25">
      <c r="A10" s="3" t="s">
        <v>18</v>
      </c>
      <c r="B10" s="7">
        <v>44361</v>
      </c>
      <c r="C10" s="7">
        <v>10010</v>
      </c>
      <c r="D10" s="4">
        <v>0.22564865535042042</v>
      </c>
      <c r="E10" s="4">
        <v>0.22564865535042042</v>
      </c>
      <c r="I10" s="4"/>
    </row>
    <row r="11" spans="1:9" x14ac:dyDescent="0.25">
      <c r="A11" s="3" t="s">
        <v>20</v>
      </c>
      <c r="B11" s="7">
        <v>48536</v>
      </c>
      <c r="C11" s="7">
        <v>10140</v>
      </c>
      <c r="D11" s="4">
        <v>0.20891709246744683</v>
      </c>
      <c r="E11" s="4">
        <v>0.20891709246744683</v>
      </c>
      <c r="I11" s="4"/>
    </row>
    <row r="12" spans="1:9" x14ac:dyDescent="0.25">
      <c r="A12" s="3" t="s">
        <v>22</v>
      </c>
      <c r="B12" s="7">
        <v>46108</v>
      </c>
      <c r="C12" s="7">
        <v>9958</v>
      </c>
      <c r="D12" s="4">
        <v>0.21597119805673637</v>
      </c>
      <c r="E12" s="4">
        <v>0.21597119805673637</v>
      </c>
      <c r="I12" s="4"/>
    </row>
    <row r="13" spans="1:9" x14ac:dyDescent="0.25">
      <c r="A13" s="3" t="s">
        <v>24</v>
      </c>
      <c r="B13" s="7">
        <v>44604</v>
      </c>
      <c r="C13" s="7">
        <v>10950</v>
      </c>
      <c r="D13" s="4">
        <v>0.24549367769706754</v>
      </c>
      <c r="E13" s="4">
        <v>0.24549367769706754</v>
      </c>
      <c r="I13" s="4"/>
    </row>
    <row r="14" spans="1:9" x14ac:dyDescent="0.25">
      <c r="A14" s="3" t="s">
        <v>26</v>
      </c>
      <c r="B14" s="7">
        <v>44107</v>
      </c>
      <c r="C14" s="7">
        <v>10053</v>
      </c>
      <c r="D14" s="4">
        <v>0.22792300541864102</v>
      </c>
      <c r="E14" s="4">
        <v>0.22792300541864102</v>
      </c>
      <c r="I14" s="4"/>
    </row>
    <row r="15" spans="1:9" x14ac:dyDescent="0.25">
      <c r="I15" s="4"/>
    </row>
    <row r="16" spans="1:9" x14ac:dyDescent="0.25">
      <c r="I16" s="4"/>
    </row>
  </sheetData>
  <phoneticPr fontId="1" type="noConversion"/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2024-10-29T07:11:12Z</dcterms:modified>
</cp:coreProperties>
</file>