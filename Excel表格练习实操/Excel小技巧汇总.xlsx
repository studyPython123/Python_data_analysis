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25782\Desktop\数据分析\"/>
    </mc:Choice>
  </mc:AlternateContent>
  <xr:revisionPtr revIDLastSave="0" documentId="13_ncr:1_{DB009018-0D58-4FE5-88B4-A45A24E997DA}" xr6:coauthVersionLast="47" xr6:coauthVersionMax="47" xr10:uidLastSave="{00000000-0000-0000-0000-000000000000}"/>
  <bookViews>
    <workbookView xWindow="-108" yWindow="-108" windowWidth="23256" windowHeight="12456" tabRatio="814" activeTab="1" xr2:uid="{16C1862D-D60E-48EC-AEB5-6953B54A5106}"/>
  </bookViews>
  <sheets>
    <sheet name="Excel快速技巧小汇总" sheetId="1" r:id="rId1"/>
    <sheet name="初始化设置" sheetId="3" r:id="rId2"/>
    <sheet name="系统自带快捷键" sheetId="4" r:id="rId3"/>
    <sheet name="自定义快捷键" sheetId="5" r:id="rId4"/>
    <sheet name="分级显示" sheetId="8" r:id="rId5"/>
    <sheet name="下拉菜单" sheetId="2" r:id="rId6"/>
    <sheet name="二级下拉菜单" sheetId="7" r:id="rId7"/>
    <sheet name="单元格格式" sheetId="6" r:id="rId8"/>
    <sheet name="字体美化技术" sheetId="9" r:id="rId9"/>
    <sheet name="数据排序" sheetId="13" r:id="rId10"/>
    <sheet name="数据筛选" sheetId="12" r:id="rId11"/>
    <sheet name="数据拆分" sheetId="11" r:id="rId12"/>
    <sheet name="数据合并" sheetId="10" r:id="rId13"/>
  </sheets>
  <definedNames>
    <definedName name="_xlnm._FilterDatabase" localSheetId="9" hidden="1">数据排序!$D$22:$F$36</definedName>
    <definedName name="_xlnm._FilterDatabase" localSheetId="10" hidden="1">数据筛选!$D$22:$F$36</definedName>
    <definedName name="广东省">二级下拉菜单!$F$7:$F$9</definedName>
    <definedName name="河南省">二级下拉菜单!$G$7:$G$9</definedName>
    <definedName name="湖北省">二级下拉菜单!$I$7:$I$9</definedName>
    <definedName name="山东省">二级下拉菜单!$J$7:$J$9</definedName>
    <definedName name="四川省">二级下拉菜单!$H$7:$H$9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" i="8" l="1"/>
  <c r="G9" i="10"/>
  <c r="G10" i="10"/>
  <c r="G11" i="10"/>
  <c r="G14" i="10"/>
</calcChain>
</file>

<file path=xl/sharedStrings.xml><?xml version="1.0" encoding="utf-8"?>
<sst xmlns="http://schemas.openxmlformats.org/spreadsheetml/2006/main" count="381" uniqueCount="224">
  <si>
    <t>Excel快速技巧小汇总</t>
  </si>
  <si>
    <t>12个详细教学步骤逐一演示  12分钟掌握  12种经典技术  干货技巧集锦</t>
  </si>
  <si>
    <t>初始化设置</t>
  </si>
  <si>
    <t>系统自带快捷键</t>
  </si>
  <si>
    <t>自定义快捷键</t>
  </si>
  <si>
    <t>分级显示</t>
  </si>
  <si>
    <t>默认字体、字号、自定义</t>
  </si>
  <si>
    <t>熟练运用，大幅提升效率</t>
  </si>
  <si>
    <t>个性定制，随心所欲操作</t>
  </si>
  <si>
    <t>数据分级显示，彰先高大上</t>
  </si>
  <si>
    <t>下拉菜单</t>
  </si>
  <si>
    <t>二级下拉菜单</t>
  </si>
  <si>
    <t>字体美化技术</t>
  </si>
  <si>
    <t>高效工作标配、商用必备</t>
  </si>
  <si>
    <t>进阶使用、工作更高效</t>
  </si>
  <si>
    <t>工具神器、快速调整格式</t>
  </si>
  <si>
    <t>专业图表标配</t>
  </si>
  <si>
    <t>数据合并</t>
  </si>
  <si>
    <t>数据排序</t>
  </si>
  <si>
    <t>数据拆分</t>
  </si>
  <si>
    <t>数据筛选</t>
  </si>
  <si>
    <t>多种不同类型的数据合并</t>
  </si>
  <si>
    <t>颜色排序、自定义排序</t>
  </si>
  <si>
    <t>拆分数据到多列</t>
  </si>
  <si>
    <t>条件筛选、颜色筛选</t>
  </si>
  <si>
    <t>初始化设置：</t>
  </si>
  <si>
    <t>步骤一：文件-选项，进入Excel选项卡</t>
  </si>
  <si>
    <t>步骤二：常规-新建工作簿时</t>
  </si>
  <si>
    <t>在这里，我们可以看到字体、字号、以及工作表数量，如果你想要新建一个工作簿就启用微软雅黑，12号默认字体，在此处设置即可，点击确定。</t>
  </si>
  <si>
    <t>系统自带快捷键：</t>
  </si>
  <si>
    <t>一般情况下，每一个版本的excel都会有系统自带的快捷键，而熟练掌握这些快捷键将会大幅度提升我们的操作效率，以下会罗列出一些常用的，并介绍记忆技巧，相当实用。</t>
  </si>
  <si>
    <t>一、Ctrl+:</t>
  </si>
  <si>
    <t>按住Ctrl键，再加上一个字母键，就能启用一种快捷功能，如下：</t>
  </si>
  <si>
    <t>Ctrl+</t>
  </si>
  <si>
    <t>C、V</t>
  </si>
  <si>
    <t>复制、粘贴，copy是复制的意思</t>
  </si>
  <si>
    <t>X、V</t>
  </si>
  <si>
    <t>剪切、粘贴</t>
  </si>
  <si>
    <t>B</t>
  </si>
  <si>
    <t>加粗，bold是粗体的意思</t>
  </si>
  <si>
    <t>N</t>
  </si>
  <si>
    <t>新建一个工作簿，new，新的</t>
  </si>
  <si>
    <t>A</t>
  </si>
  <si>
    <t>全选，all，全部</t>
  </si>
  <si>
    <t>S</t>
  </si>
  <si>
    <t>保存，save，储存的意思</t>
  </si>
  <si>
    <t xml:space="preserve">F </t>
  </si>
  <si>
    <t>弹出查找窗口，find，查找的意思</t>
  </si>
  <si>
    <t>G</t>
  </si>
  <si>
    <t>定位功能，暂无对应英文</t>
  </si>
  <si>
    <t>P</t>
  </si>
  <si>
    <t>打印，Print，打印的意思</t>
  </si>
  <si>
    <t>Z</t>
  </si>
  <si>
    <t>后退，暂无对应英文</t>
  </si>
  <si>
    <t>Y</t>
  </si>
  <si>
    <t>恢复，暂无对应英文</t>
  </si>
  <si>
    <t>Q</t>
  </si>
  <si>
    <t>启用快捷分析：格式、图表、汇总、表、迷你图</t>
  </si>
  <si>
    <t>W</t>
  </si>
  <si>
    <t>保存excel表并退出</t>
  </si>
  <si>
    <t>E</t>
  </si>
  <si>
    <t>快速填充</t>
  </si>
  <si>
    <t>T</t>
  </si>
  <si>
    <t>快速创建表格</t>
  </si>
  <si>
    <t>上下左右</t>
  </si>
  <si>
    <t>可以在连续的单元格中快速到底上下左右四个边边</t>
  </si>
  <si>
    <t>记住，X、C、V都是一伙的，剪切、复制、粘贴功能</t>
  </si>
  <si>
    <t>Z、Y是配对的，Z是后退，Y是恢复上一个操作</t>
  </si>
  <si>
    <t>A、S、P、F、G就是全选、保存、打印、查找、定位功能的</t>
  </si>
  <si>
    <t>二、Ctrl+shift+上下左右：可快速选择连续的单元格，形成一个连续的区域</t>
  </si>
  <si>
    <t>自定义快捷键：</t>
  </si>
  <si>
    <t>前面已经介绍了系统自带快捷键是由ctrl+字母键组成的，而自定义快捷键就是按照自己的使用习惯进行设置相应的快捷键，具体操作就是“Alt+1、2、3、4、5...”</t>
  </si>
  <si>
    <t>步骤一：</t>
  </si>
  <si>
    <t>鼠标指向工具栏，右键，自定义快速访问工具栏</t>
  </si>
  <si>
    <t>步骤二：</t>
  </si>
  <si>
    <t>第一个位置是常用命令，选择以后在下方的窗口可以选择常用功能</t>
  </si>
  <si>
    <t>也可以选择所有命令，就能看到excel表格里面所有的功能</t>
  </si>
  <si>
    <t>步骤三：</t>
  </si>
  <si>
    <t>选中想要的功能，点击添加，该功能就会出现在右边的窗口</t>
  </si>
  <si>
    <t>注意的是，右边窗口的位置从上到下的每一个位置是默认数字1至9的</t>
  </si>
  <si>
    <t>所以，Alt+1，等于启用功能合并后居中，下面的以此类推</t>
  </si>
  <si>
    <t>经过这样的设置，就是用“Alt+1、2、3、4、5...”这样的组合，快速启用自己想要的功能，经本人亲测，能够极大地提高自己的操作效率，操作速度快到别人压根看不到你做了什么，表格、数据就弄好了。</t>
  </si>
  <si>
    <t>分级显示技术：</t>
  </si>
  <si>
    <t>这个功能可以用于快速设置一级、二级、三级，甚至更加多级别的层次，如图：</t>
  </si>
  <si>
    <t>如下图：对一级科目创建组，然后再对二级科目创建组，即可得到如下效果：</t>
  </si>
  <si>
    <t>共有3个级别，点击一级：</t>
  </si>
  <si>
    <t>点击二级：</t>
  </si>
  <si>
    <t>以此类推</t>
  </si>
  <si>
    <t>合计：</t>
  </si>
  <si>
    <t>一、一级科目</t>
  </si>
  <si>
    <t xml:space="preserve">  （一）二级科目</t>
  </si>
  <si>
    <t xml:space="preserve">        1、三级科目</t>
  </si>
  <si>
    <t xml:space="preserve">        （1）四级科目</t>
  </si>
  <si>
    <t>二、一级科目</t>
  </si>
  <si>
    <t>三、一级科目</t>
  </si>
  <si>
    <t>数据区域：</t>
  </si>
  <si>
    <t>展示区域：</t>
  </si>
  <si>
    <t>员工</t>
  </si>
  <si>
    <t>张三</t>
  </si>
  <si>
    <t>陈七</t>
  </si>
  <si>
    <t>李四</t>
  </si>
  <si>
    <t>王五</t>
  </si>
  <si>
    <t>选定目标区域，点击数据-数据验证</t>
  </si>
  <si>
    <t>赵六</t>
  </si>
  <si>
    <t>任何值修改为序列</t>
  </si>
  <si>
    <t>数据来源选定A2：A6，完成</t>
  </si>
  <si>
    <t>PS：</t>
  </si>
  <si>
    <t>如果来源扩展到A10，即预留多4个位置，在A7新增</t>
  </si>
  <si>
    <t>下拉菜单即会自动新增，实现动态</t>
  </si>
  <si>
    <t>一级下拉菜单功能在前面已经讲过了，这次讲的二级下拉菜单，是在一级菜单功能下实现的，建立更有效的菜单联动。</t>
  </si>
  <si>
    <t>第一列</t>
  </si>
  <si>
    <t>第二列</t>
  </si>
  <si>
    <t>省份</t>
  </si>
  <si>
    <t>省会城市</t>
  </si>
  <si>
    <t>广东省</t>
  </si>
  <si>
    <t>河南省</t>
  </si>
  <si>
    <t>四川省</t>
  </si>
  <si>
    <t>湖北省</t>
  </si>
  <si>
    <t>山东省</t>
  </si>
  <si>
    <t>广州</t>
  </si>
  <si>
    <t>郑州</t>
  </si>
  <si>
    <t>成都</t>
  </si>
  <si>
    <t>武汉</t>
  </si>
  <si>
    <t>青岛</t>
  </si>
  <si>
    <t>佛山</t>
  </si>
  <si>
    <t>开封</t>
  </si>
  <si>
    <t>绵阳</t>
  </si>
  <si>
    <t>孝感</t>
  </si>
  <si>
    <t>济南</t>
  </si>
  <si>
    <t>珠海</t>
  </si>
  <si>
    <t>洛阳</t>
  </si>
  <si>
    <t>自贡</t>
  </si>
  <si>
    <t>黄冈</t>
  </si>
  <si>
    <t>聊城</t>
  </si>
  <si>
    <t>先对第一列进行第一级的数据有效性，设置下拉菜单</t>
  </si>
  <si>
    <t>全选数据，点击公式-根据所选内容创建-只勾选首行-确定</t>
  </si>
  <si>
    <t>对第二列设置数据有效性，选择序列，数据来源填写：=INDIRECT(B7)，即广东省是B7，河南省是B8，通过下拉单元格即可完成批量设置</t>
  </si>
  <si>
    <t>PS:（Indirect是一个间接引用函数，指的是引用B7单元格的值，由于我们已经根据首行创建了一个名称管理，因此就可以使用首行内容以下的内容，即广东省下的各个城市）</t>
  </si>
  <si>
    <t>快速设置单元格格式：</t>
  </si>
  <si>
    <t>如何快速设置单元格格式，这次我们需要采用的工具就是格式刷，可以将某个单元格的全部格式完整一个不漏地复制到目标单元格，格式包括字号、字体、文字颜色、单元格的填充颜色、线条的粗细、颜色等等，总之，可以达到完美复制格式</t>
  </si>
  <si>
    <t>工具位置：</t>
  </si>
  <si>
    <t>特殊使用方式：</t>
  </si>
  <si>
    <t>利用格式刷制作隔行填充颜色</t>
  </si>
  <si>
    <t>例如：</t>
  </si>
  <si>
    <t>以下这个表格，我想要一黄一白的效果，此时可以使用格式刷，一次性刷两行，再刷到目标单元格</t>
  </si>
  <si>
    <t>就可以得到下面的效果：</t>
  </si>
  <si>
    <t>字体美化技术：</t>
  </si>
  <si>
    <t>字体美化，尤其在商业图表中展示漂亮大方的字体尤为重要，比如以下的一些例子</t>
  </si>
  <si>
    <t>而我们平时系统默认的宋体、黑体、楷体等等都稍有逊色，因此字体的美化是非常必要的</t>
  </si>
  <si>
    <t>通常我使用的字体美化如下：</t>
  </si>
  <si>
    <t>文字：</t>
  </si>
  <si>
    <t>微软雅黑，12号，用于正文描述</t>
  </si>
  <si>
    <t>标题：</t>
  </si>
  <si>
    <t>微软雅黑，20号-24号，加粗</t>
  </si>
  <si>
    <t>数字：</t>
  </si>
  <si>
    <t>常用的有好几种，对比如下：</t>
  </si>
  <si>
    <t>微软雅黑</t>
  </si>
  <si>
    <t>如果想要效果更加突出，可以放大字号再加粗来对比，在此省略。
而我个人认为，微软雅黑是最平衡的，文字、数字、标题都比较适合，上述图表，大部分都是这个字体的，大家可以亲测试试</t>
  </si>
  <si>
    <t>Arial</t>
  </si>
  <si>
    <t>Agenci FB</t>
  </si>
  <si>
    <t>Malgun Gothic Semilight</t>
  </si>
  <si>
    <t>Microsoft YaHei UI</t>
  </si>
  <si>
    <t>Microsoft YaHei UI Light</t>
  </si>
  <si>
    <t xml:space="preserve">Times New Roman </t>
  </si>
  <si>
    <t>数据排序：</t>
  </si>
  <si>
    <t>在面对大量数据的时候，数据筛选能够极大的提升我们对数据的整理、挖掘，本次要介绍的并不是常规的数据排序，而是更多元化的数据排序。</t>
  </si>
  <si>
    <t>一、颜色排序</t>
  </si>
  <si>
    <t>部门</t>
  </si>
  <si>
    <t>业绩</t>
  </si>
  <si>
    <t>将目标内容选定后标记颜色，然后进行颜色排序，就会将标记颜色的内容排序在表格中的首位</t>
  </si>
  <si>
    <t>业务员1</t>
  </si>
  <si>
    <t>销售二部</t>
  </si>
  <si>
    <t>业务员3</t>
  </si>
  <si>
    <t>销售一部</t>
  </si>
  <si>
    <t>业务员2</t>
  </si>
  <si>
    <t>业务员4</t>
  </si>
  <si>
    <t>销售三部</t>
  </si>
  <si>
    <t>二、关键字排序</t>
  </si>
  <si>
    <t>全选表格，打开自定义排序以后，在主要关键字里面可以选择，员工，或者部门，即可得到排序结果</t>
  </si>
  <si>
    <t>按部门的排序结果</t>
  </si>
  <si>
    <t>按员工的排序结果</t>
  </si>
  <si>
    <t>数据筛选：</t>
  </si>
  <si>
    <t>在面对大量数据的时候，数据筛选能够极大的提升我们对数据的整理、挖掘，本次要介绍的并不是常规的数据筛选，而是更多元化的数据筛选。</t>
  </si>
  <si>
    <t>一、颜色筛选</t>
  </si>
  <si>
    <t>将你想要筛选的数据全部标记黄色，然后筛选即可得到想要的数据，获取此类数据通常较有针对性</t>
  </si>
  <si>
    <t>二、按数字筛选</t>
  </si>
  <si>
    <t>按数字筛选，我们可以筛选大于500元的，或者500至1000元的，或者小于1000元的业务员</t>
  </si>
  <si>
    <t>三、按模糊文本筛选</t>
  </si>
  <si>
    <t xml:space="preserve"> </t>
  </si>
  <si>
    <t>在excel语言里面，有一些符号可以用来代替某些不规则的字符，而本次使用的是 * ，比如我要筛选某个数据的时候，我只知道数据都具有</t>
  </si>
  <si>
    <t>其中的两个关键字，那么可以进行下列操作来达到筛选目的</t>
  </si>
  <si>
    <r>
      <t>关键字在首位，但后面的文本不规则的搜索规则：关键字</t>
    </r>
    <r>
      <rPr>
        <b/>
        <sz val="11"/>
        <color indexed="10"/>
        <rFont val="微软雅黑"/>
        <family val="2"/>
        <charset val="134"/>
      </rPr>
      <t>*</t>
    </r>
  </si>
  <si>
    <r>
      <t>关键字在末位，但前面的文本不规则的搜索规则：</t>
    </r>
    <r>
      <rPr>
        <b/>
        <sz val="11"/>
        <color indexed="10"/>
        <rFont val="微软雅黑"/>
        <family val="2"/>
        <charset val="134"/>
      </rPr>
      <t>*</t>
    </r>
    <r>
      <rPr>
        <sz val="11"/>
        <color indexed="8"/>
        <rFont val="微软雅黑"/>
        <family val="2"/>
        <charset val="134"/>
      </rPr>
      <t>关键字</t>
    </r>
  </si>
  <si>
    <r>
      <t>关键字在中间，前后的文本都不规则的搜索规则：</t>
    </r>
    <r>
      <rPr>
        <b/>
        <sz val="11"/>
        <color indexed="10"/>
        <rFont val="微软雅黑"/>
        <family val="2"/>
        <charset val="134"/>
      </rPr>
      <t>*</t>
    </r>
    <r>
      <rPr>
        <sz val="11"/>
        <color indexed="8"/>
        <rFont val="微软雅黑"/>
        <family val="2"/>
        <charset val="134"/>
      </rPr>
      <t>关键字</t>
    </r>
    <r>
      <rPr>
        <b/>
        <sz val="11"/>
        <color indexed="10"/>
        <rFont val="微软雅黑"/>
        <family val="2"/>
        <charset val="134"/>
      </rPr>
      <t>*</t>
    </r>
  </si>
  <si>
    <t>数据拆分：</t>
  </si>
  <si>
    <t>数据拆分，与合并是相对的，而这个功能在excel语言里面叫分列。分列一共有2种方式，一种是分隔符号分列，一种是固定宽度分列，各有各的使用场景。</t>
  </si>
  <si>
    <t>分隔符号分列：</t>
  </si>
  <si>
    <t>分隔符号包括很多种，我们只需要选定某种分割符号，分列功能就可以此为分界点，将一个数据分开</t>
  </si>
  <si>
    <t>一个很容易了解的例子：2020-01-01这个日期，分隔符号是横杆-，所以可以在其他符号这个位置填写</t>
  </si>
  <si>
    <t>就能实现分列，分成三列，分别是年、月、日</t>
  </si>
  <si>
    <t>同样，比如 张三 188807661234，姓名+空格+手机号码，我们也可以利用空格这个符号做分列</t>
  </si>
  <si>
    <t>成功分成两列</t>
  </si>
  <si>
    <t>固定跨度分列：</t>
  </si>
  <si>
    <t>固定宽度比较适用于数据排列相对整齐，并且是有规律地排列的，才能够以固定的宽度进行分列，得到</t>
  </si>
  <si>
    <t>想要的数据，比如某列数据前三个字都是姓名，后面的都不相同，那么固定宽度选择为3，即可实现分列</t>
  </si>
  <si>
    <t>数据合并：</t>
  </si>
  <si>
    <t>数据合并，采用连接符“&amp;”，就是数字7上方的那个，shift+数字7即可激活，可以用来连接任何单元格的值</t>
  </si>
  <si>
    <t>第一种情况：</t>
  </si>
  <si>
    <t>连接年月日</t>
  </si>
  <si>
    <t>年</t>
  </si>
  <si>
    <t>月</t>
  </si>
  <si>
    <t>日</t>
  </si>
  <si>
    <t>日期</t>
  </si>
  <si>
    <t>想要变成0101，就要将数字转换成文本格式</t>
  </si>
  <si>
    <t>01</t>
  </si>
  <si>
    <t>如果想要加上横杠，那就要多使用双引号，“-”</t>
  </si>
  <si>
    <t>公式：C11&amp;"-"&amp;D11&amp;"-"&amp;E11</t>
  </si>
  <si>
    <t>第二种情况：</t>
  </si>
  <si>
    <t>连接姓名+身份证号码</t>
  </si>
  <si>
    <t xml:space="preserve">    4453021111111</t>
  </si>
  <si>
    <t>如果想要在中间加上空格，那就在身份证号码前加多几个空格</t>
  </si>
  <si>
    <t>其他情况：</t>
  </si>
  <si>
    <t>总的来说，任何值都能够毫无逻辑地组合在一起，原则就是，文字、数字组合无需加双引号，一些特殊的字符就需要加双引号，用于识别</t>
  </si>
  <si>
    <t>快速设置
单元格式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</si>
</sst>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 * #,##0.00_ ;_ * \-#,##0.00_ ;_ * &quot;-&quot;??_ ;_ @_ "/>
  </numFmts>
  <fonts count="25" x14ac:knownFonts="1">
    <font>
      <sz val="11"/>
      <color theme="1"/>
      <name val="宋体"/>
      <family val="3"/>
      <charset val="134"/>
      <scheme val="minor"/>
    </font>
    <font>
      <sz val="11"/>
      <color indexed="8"/>
      <name val="微软雅黑"/>
      <family val="2"/>
      <charset val="134"/>
    </font>
    <font>
      <b/>
      <sz val="11"/>
      <color indexed="1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4"/>
      <color theme="1"/>
      <name val="Arial"/>
      <family val="2"/>
    </font>
    <font>
      <sz val="14"/>
      <color theme="1"/>
      <name val="Agency FB"/>
      <family val="2"/>
    </font>
    <font>
      <sz val="14"/>
      <color theme="1"/>
      <name val="Malgun Gothic Semilight"/>
      <family val="2"/>
      <charset val="134"/>
    </font>
    <font>
      <sz val="14"/>
      <color theme="1"/>
      <name val="Microsoft YaHei UI"/>
      <family val="2"/>
      <charset val="134"/>
    </font>
    <font>
      <sz val="14"/>
      <color theme="1"/>
      <name val="Microsoft YaHei UI Light"/>
      <family val="2"/>
      <charset val="134"/>
    </font>
    <font>
      <sz val="14"/>
      <color theme="1"/>
      <name val="Times New Roman"/>
      <family val="1"/>
    </font>
    <font>
      <b/>
      <sz val="11"/>
      <color theme="1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1"/>
      <color theme="5"/>
      <name val="微软雅黑"/>
      <family val="2"/>
      <charset val="134"/>
    </font>
    <font>
      <b/>
      <sz val="24"/>
      <color theme="3" tint="0.39997558519241921"/>
      <name val="微软雅黑"/>
      <family val="2"/>
      <charset val="134"/>
    </font>
    <font>
      <b/>
      <sz val="18"/>
      <color theme="9" tint="-0.249977111117893"/>
      <name val="微软雅黑"/>
      <family val="2"/>
      <charset val="134"/>
    </font>
    <font>
      <b/>
      <sz val="18"/>
      <color rgb="FF00B050"/>
      <name val="微软雅黑"/>
      <family val="2"/>
      <charset val="134"/>
    </font>
    <font>
      <sz val="11"/>
      <color theme="0" tint="-0.499984740745262"/>
      <name val="微软雅黑"/>
      <family val="2"/>
      <charset val="134"/>
    </font>
    <font>
      <b/>
      <sz val="18"/>
      <color theme="3" tint="0.39997558519241921"/>
      <name val="微软雅黑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medium">
        <color theme="0" tint="-0.249977111117893"/>
      </bottom>
      <diagonal/>
    </border>
    <border>
      <left style="thin">
        <color theme="0" tint="-0.249977111117893"/>
      </left>
      <right/>
      <top/>
      <bottom style="medium">
        <color theme="0" tint="-0.249977111117893"/>
      </bottom>
      <diagonal/>
    </border>
  </borders>
  <cellStyleXfs count="2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vertical="center" wrapText="1"/>
    </xf>
    <xf numFmtId="0" fontId="4" fillId="3" borderId="0" xfId="0" applyFont="1" applyFill="1">
      <alignment vertical="center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0" fontId="7" fillId="2" borderId="0" xfId="0" applyNumberFormat="1" applyFont="1" applyFill="1">
      <alignment vertical="center"/>
    </xf>
    <xf numFmtId="10" fontId="8" fillId="2" borderId="0" xfId="0" applyNumberFormat="1" applyFont="1" applyFill="1">
      <alignment vertical="center"/>
    </xf>
    <xf numFmtId="43" fontId="9" fillId="2" borderId="0" xfId="1" applyFont="1" applyFill="1">
      <alignment vertical="center"/>
    </xf>
    <xf numFmtId="43" fontId="10" fillId="2" borderId="0" xfId="1" applyFont="1" applyFill="1">
      <alignment vertical="center"/>
    </xf>
    <xf numFmtId="43" fontId="11" fillId="2" borderId="0" xfId="1" applyFont="1" applyFill="1">
      <alignment vertical="center"/>
    </xf>
    <xf numFmtId="43" fontId="12" fillId="2" borderId="0" xfId="1" applyFont="1" applyFill="1">
      <alignment vertical="center"/>
    </xf>
    <xf numFmtId="43" fontId="13" fillId="2" borderId="0" xfId="1" applyFont="1" applyFill="1">
      <alignment vertical="center"/>
    </xf>
    <xf numFmtId="43" fontId="4" fillId="2" borderId="0" xfId="1" applyFont="1" applyFill="1">
      <alignment vertical="center"/>
    </xf>
    <xf numFmtId="0" fontId="6" fillId="2" borderId="0" xfId="0" applyFont="1" applyFill="1">
      <alignment vertical="center"/>
    </xf>
    <xf numFmtId="0" fontId="4" fillId="4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14" fillId="2" borderId="0" xfId="0" applyFont="1" applyFill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16" fillId="5" borderId="0" xfId="0" applyFont="1" applyFill="1" applyAlignment="1">
      <alignment horizontal="center" vertical="center"/>
    </xf>
    <xf numFmtId="0" fontId="17" fillId="2" borderId="0" xfId="0" applyFont="1" applyFill="1">
      <alignment vertical="center"/>
    </xf>
    <xf numFmtId="0" fontId="14" fillId="2" borderId="0" xfId="0" applyFont="1" applyFill="1">
      <alignment vertical="center"/>
    </xf>
    <xf numFmtId="43" fontId="14" fillId="2" borderId="0" xfId="1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18" fillId="2" borderId="0" xfId="0" applyFont="1" applyFill="1">
      <alignment vertical="center"/>
    </xf>
    <xf numFmtId="0" fontId="21" fillId="2" borderId="2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</cellXfs>
  <cellStyles count="2">
    <cellStyle name="常规" xfId="0" builtinId="0"/>
    <cellStyle name="千位分隔" xfId="1" builtinId="3"/>
  </cellStyles>
  <dxfs count="0"/>
  <tableStyles count="1" defaultTableStyle="TableStyleMedium2" defaultPivotStyle="PivotStyleLight16">
    <tableStyle name="Invisible" pivot="0" table="0" count="0" xr9:uid="{B7081080-A523-4E03-8D32-00960E6E3FF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4" Type="http://schemas.openxmlformats.org/officeDocument/2006/relationships/image" Target="../media/image1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4" Type="http://schemas.openxmlformats.org/officeDocument/2006/relationships/image" Target="../media/image20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6" Type="http://schemas.openxmlformats.org/officeDocument/2006/relationships/image" Target="../media/image26.png"/><Relationship Id="rId5" Type="http://schemas.openxmlformats.org/officeDocument/2006/relationships/image" Target="../media/image25.png"/><Relationship Id="rId4" Type="http://schemas.openxmlformats.org/officeDocument/2006/relationships/image" Target="../media/image2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7" Type="http://schemas.openxmlformats.org/officeDocument/2006/relationships/image" Target="../media/image33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Relationship Id="rId6" Type="http://schemas.openxmlformats.org/officeDocument/2006/relationships/image" Target="../media/image32.png"/><Relationship Id="rId5" Type="http://schemas.openxmlformats.org/officeDocument/2006/relationships/image" Target="../media/image31.png"/><Relationship Id="rId4" Type="http://schemas.openxmlformats.org/officeDocument/2006/relationships/image" Target="../media/image30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png"/><Relationship Id="rId1" Type="http://schemas.openxmlformats.org/officeDocument/2006/relationships/image" Target="../media/image34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144780</xdr:colOff>
      <xdr:row>0</xdr:row>
      <xdr:rowOff>167640</xdr:rowOff>
    </xdr:from>
    <xdr:to>
      <xdr:col>17</xdr:col>
      <xdr:colOff>502920</xdr:colOff>
      <xdr:row>30</xdr:row>
      <xdr:rowOff>45720</xdr:rowOff>
    </xdr:to>
    <xdr:pic>
      <xdr:nvPicPr>
        <xdr:cNvPr id="15362" name="图片 1">
          <a:extLst>
            <a:ext uri="{FF2B5EF4-FFF2-40B4-BE49-F238E27FC236}">
              <a16:creationId xmlns:a16="http://schemas.microsoft.com/office/drawing/2014/main" id="{E335A735-56DC-9EE2-CF7C-8BBEF28F1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4340" y="167640"/>
          <a:ext cx="7147560" cy="5844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38100</xdr:colOff>
      <xdr:row>4</xdr:row>
      <xdr:rowOff>160020</xdr:rowOff>
    </xdr:from>
    <xdr:to>
      <xdr:col>23</xdr:col>
      <xdr:colOff>266700</xdr:colOff>
      <xdr:row>34</xdr:row>
      <xdr:rowOff>15240</xdr:rowOff>
    </xdr:to>
    <xdr:pic>
      <xdr:nvPicPr>
        <xdr:cNvPr id="16386" name="图片 1">
          <a:extLst>
            <a:ext uri="{FF2B5EF4-FFF2-40B4-BE49-F238E27FC236}">
              <a16:creationId xmlns:a16="http://schemas.microsoft.com/office/drawing/2014/main" id="{8E3058C6-6421-EA15-C825-B46326676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9820" y="960120"/>
          <a:ext cx="8869680" cy="5798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419100</xdr:colOff>
      <xdr:row>0</xdr:row>
      <xdr:rowOff>99060</xdr:rowOff>
    </xdr:from>
    <xdr:to>
      <xdr:col>16</xdr:col>
      <xdr:colOff>266700</xdr:colOff>
      <xdr:row>7</xdr:row>
      <xdr:rowOff>0</xdr:rowOff>
    </xdr:to>
    <xdr:pic>
      <xdr:nvPicPr>
        <xdr:cNvPr id="17411" name="图片 1">
          <a:extLst>
            <a:ext uri="{FF2B5EF4-FFF2-40B4-BE49-F238E27FC236}">
              <a16:creationId xmlns:a16="http://schemas.microsoft.com/office/drawing/2014/main" id="{EEE947F8-23AE-0AFE-87CE-37D17B99C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1300" y="99060"/>
          <a:ext cx="3550920" cy="1348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297180</xdr:colOff>
      <xdr:row>8</xdr:row>
      <xdr:rowOff>7620</xdr:rowOff>
    </xdr:from>
    <xdr:to>
      <xdr:col>16</xdr:col>
      <xdr:colOff>266700</xdr:colOff>
      <xdr:row>25</xdr:row>
      <xdr:rowOff>190500</xdr:rowOff>
    </xdr:to>
    <xdr:pic>
      <xdr:nvPicPr>
        <xdr:cNvPr id="17412" name="图片 2">
          <a:extLst>
            <a:ext uri="{FF2B5EF4-FFF2-40B4-BE49-F238E27FC236}">
              <a16:creationId xmlns:a16="http://schemas.microsoft.com/office/drawing/2014/main" id="{16F7AC2E-7E7A-2CAB-6C62-8264F100B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9380" y="1653540"/>
          <a:ext cx="3672840" cy="3550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91440</xdr:colOff>
      <xdr:row>3</xdr:row>
      <xdr:rowOff>38100</xdr:rowOff>
    </xdr:from>
    <xdr:to>
      <xdr:col>13</xdr:col>
      <xdr:colOff>548640</xdr:colOff>
      <xdr:row>9</xdr:row>
      <xdr:rowOff>99060</xdr:rowOff>
    </xdr:to>
    <xdr:pic>
      <xdr:nvPicPr>
        <xdr:cNvPr id="18437" name="图片 1">
          <a:extLst>
            <a:ext uri="{FF2B5EF4-FFF2-40B4-BE49-F238E27FC236}">
              <a16:creationId xmlns:a16="http://schemas.microsoft.com/office/drawing/2014/main" id="{DB3A1BAF-480F-E373-68CE-681F1B1FA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" y="739140"/>
          <a:ext cx="8846820" cy="1249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594360</xdr:colOff>
      <xdr:row>10</xdr:row>
      <xdr:rowOff>137160</xdr:rowOff>
    </xdr:from>
    <xdr:to>
      <xdr:col>8</xdr:col>
      <xdr:colOff>556260</xdr:colOff>
      <xdr:row>32</xdr:row>
      <xdr:rowOff>129540</xdr:rowOff>
    </xdr:to>
    <xdr:pic>
      <xdr:nvPicPr>
        <xdr:cNvPr id="18438" name="图片 2">
          <a:extLst>
            <a:ext uri="{FF2B5EF4-FFF2-40B4-BE49-F238E27FC236}">
              <a16:creationId xmlns:a16="http://schemas.microsoft.com/office/drawing/2014/main" id="{38B27361-7EC7-C124-C04D-1EA079D58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7880" y="2225040"/>
          <a:ext cx="579120" cy="435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548640</xdr:colOff>
      <xdr:row>11</xdr:row>
      <xdr:rowOff>114300</xdr:rowOff>
    </xdr:from>
    <xdr:to>
      <xdr:col>6</xdr:col>
      <xdr:colOff>472440</xdr:colOff>
      <xdr:row>18</xdr:row>
      <xdr:rowOff>190500</xdr:rowOff>
    </xdr:to>
    <xdr:pic>
      <xdr:nvPicPr>
        <xdr:cNvPr id="18439" name="图片 3">
          <a:extLst>
            <a:ext uri="{FF2B5EF4-FFF2-40B4-BE49-F238E27FC236}">
              <a16:creationId xmlns:a16="http://schemas.microsoft.com/office/drawing/2014/main" id="{B54F7AB2-F15A-D680-3BB1-49B4FBDB3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" y="2400300"/>
          <a:ext cx="2697480" cy="1463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289560</xdr:colOff>
      <xdr:row>18</xdr:row>
      <xdr:rowOff>114300</xdr:rowOff>
    </xdr:from>
    <xdr:to>
      <xdr:col>6</xdr:col>
      <xdr:colOff>388620</xdr:colOff>
      <xdr:row>31</xdr:row>
      <xdr:rowOff>91440</xdr:rowOff>
    </xdr:to>
    <xdr:pic>
      <xdr:nvPicPr>
        <xdr:cNvPr id="18440" name="图片 4">
          <a:extLst>
            <a:ext uri="{FF2B5EF4-FFF2-40B4-BE49-F238E27FC236}">
              <a16:creationId xmlns:a16="http://schemas.microsoft.com/office/drawing/2014/main" id="{22AFDDE3-EE99-F9A0-0248-0EA150FB7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2180" y="3787140"/>
          <a:ext cx="2872740" cy="255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22860</xdr:colOff>
      <xdr:row>2</xdr:row>
      <xdr:rowOff>129540</xdr:rowOff>
    </xdr:from>
    <xdr:to>
      <xdr:col>21</xdr:col>
      <xdr:colOff>312420</xdr:colOff>
      <xdr:row>8</xdr:row>
      <xdr:rowOff>99060</xdr:rowOff>
    </xdr:to>
    <xdr:pic>
      <xdr:nvPicPr>
        <xdr:cNvPr id="1063" name="图片 3">
          <a:extLst>
            <a:ext uri="{FF2B5EF4-FFF2-40B4-BE49-F238E27FC236}">
              <a16:creationId xmlns:a16="http://schemas.microsoft.com/office/drawing/2014/main" id="{1B68C45C-70DA-838E-7C75-320139E18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37320" y="739140"/>
          <a:ext cx="4610100" cy="1158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60960</xdr:colOff>
      <xdr:row>9</xdr:row>
      <xdr:rowOff>68580</xdr:rowOff>
    </xdr:from>
    <xdr:to>
      <xdr:col>19</xdr:col>
      <xdr:colOff>403860</xdr:colOff>
      <xdr:row>27</xdr:row>
      <xdr:rowOff>83820</xdr:rowOff>
    </xdr:to>
    <xdr:pic>
      <xdr:nvPicPr>
        <xdr:cNvPr id="1064" name="图片 6">
          <a:extLst>
            <a:ext uri="{FF2B5EF4-FFF2-40B4-BE49-F238E27FC236}">
              <a16:creationId xmlns:a16="http://schemas.microsoft.com/office/drawing/2014/main" id="{8C00EC8A-2A01-06C6-E6CA-90075648E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75420" y="2065020"/>
          <a:ext cx="3429000" cy="3581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579120</xdr:colOff>
      <xdr:row>4</xdr:row>
      <xdr:rowOff>91440</xdr:rowOff>
    </xdr:from>
    <xdr:to>
      <xdr:col>14</xdr:col>
      <xdr:colOff>312420</xdr:colOff>
      <xdr:row>10</xdr:row>
      <xdr:rowOff>15240</xdr:rowOff>
    </xdr:to>
    <xdr:pic>
      <xdr:nvPicPr>
        <xdr:cNvPr id="13331" name="图片 1">
          <a:extLst>
            <a:ext uri="{FF2B5EF4-FFF2-40B4-BE49-F238E27FC236}">
              <a16:creationId xmlns:a16="http://schemas.microsoft.com/office/drawing/2014/main" id="{8F23BEF6-C9E3-317F-9B96-0508C545F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1880" y="975360"/>
          <a:ext cx="2202180" cy="1249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754380</xdr:colOff>
      <xdr:row>17</xdr:row>
      <xdr:rowOff>99060</xdr:rowOff>
    </xdr:from>
    <xdr:to>
      <xdr:col>7</xdr:col>
      <xdr:colOff>502920</xdr:colOff>
      <xdr:row>21</xdr:row>
      <xdr:rowOff>213360</xdr:rowOff>
    </xdr:to>
    <xdr:pic>
      <xdr:nvPicPr>
        <xdr:cNvPr id="13332" name="图片 2">
          <a:extLst>
            <a:ext uri="{FF2B5EF4-FFF2-40B4-BE49-F238E27FC236}">
              <a16:creationId xmlns:a16="http://schemas.microsoft.com/office/drawing/2014/main" id="{DF4AA4DA-5288-BB51-B24E-A93281351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4100" y="3855720"/>
          <a:ext cx="3169920" cy="998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228600</xdr:colOff>
      <xdr:row>17</xdr:row>
      <xdr:rowOff>99060</xdr:rowOff>
    </xdr:from>
    <xdr:to>
      <xdr:col>11</xdr:col>
      <xdr:colOff>251460</xdr:colOff>
      <xdr:row>26</xdr:row>
      <xdr:rowOff>137160</xdr:rowOff>
    </xdr:to>
    <xdr:pic>
      <xdr:nvPicPr>
        <xdr:cNvPr id="13333" name="图片 3">
          <a:extLst>
            <a:ext uri="{FF2B5EF4-FFF2-40B4-BE49-F238E27FC236}">
              <a16:creationId xmlns:a16="http://schemas.microsoft.com/office/drawing/2014/main" id="{790E5E19-C3F8-29C5-8CDB-FB0EC1057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6920" y="3855720"/>
          <a:ext cx="1874520" cy="2026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45720</xdr:colOff>
      <xdr:row>16</xdr:row>
      <xdr:rowOff>213360</xdr:rowOff>
    </xdr:from>
    <xdr:to>
      <xdr:col>16</xdr:col>
      <xdr:colOff>53340</xdr:colOff>
      <xdr:row>29</xdr:row>
      <xdr:rowOff>7620</xdr:rowOff>
    </xdr:to>
    <xdr:pic>
      <xdr:nvPicPr>
        <xdr:cNvPr id="13334" name="图片 4">
          <a:extLst>
            <a:ext uri="{FF2B5EF4-FFF2-40B4-BE49-F238E27FC236}">
              <a16:creationId xmlns:a16="http://schemas.microsoft.com/office/drawing/2014/main" id="{2EC465F9-C442-39A0-386D-7D64D4C8B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2920" y="3749040"/>
          <a:ext cx="2476500" cy="266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68580</xdr:colOff>
      <xdr:row>4</xdr:row>
      <xdr:rowOff>213360</xdr:rowOff>
    </xdr:from>
    <xdr:to>
      <xdr:col>3</xdr:col>
      <xdr:colOff>403860</xdr:colOff>
      <xdr:row>11</xdr:row>
      <xdr:rowOff>68580</xdr:rowOff>
    </xdr:to>
    <xdr:pic>
      <xdr:nvPicPr>
        <xdr:cNvPr id="7189" name="图片 1">
          <a:extLst>
            <a:ext uri="{FF2B5EF4-FFF2-40B4-BE49-F238E27FC236}">
              <a16:creationId xmlns:a16="http://schemas.microsoft.com/office/drawing/2014/main" id="{A10D6270-4C4B-98F8-1FAC-9C79F6F7F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2640" y="1066800"/>
          <a:ext cx="1043940" cy="1348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144780</xdr:colOff>
      <xdr:row>8</xdr:row>
      <xdr:rowOff>83820</xdr:rowOff>
    </xdr:from>
    <xdr:to>
      <xdr:col>17</xdr:col>
      <xdr:colOff>281940</xdr:colOff>
      <xdr:row>21</xdr:row>
      <xdr:rowOff>114300</xdr:rowOff>
    </xdr:to>
    <xdr:pic>
      <xdr:nvPicPr>
        <xdr:cNvPr id="7190" name="图片 2">
          <a:extLst>
            <a:ext uri="{FF2B5EF4-FFF2-40B4-BE49-F238E27FC236}">
              <a16:creationId xmlns:a16="http://schemas.microsoft.com/office/drawing/2014/main" id="{E0483980-6385-55E4-24B4-CD271E354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5260" y="1790700"/>
          <a:ext cx="3840480" cy="2804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3</xdr:row>
      <xdr:rowOff>213360</xdr:rowOff>
    </xdr:from>
    <xdr:to>
      <xdr:col>8</xdr:col>
      <xdr:colOff>388620</xdr:colOff>
      <xdr:row>18</xdr:row>
      <xdr:rowOff>205740</xdr:rowOff>
    </xdr:to>
    <xdr:pic>
      <xdr:nvPicPr>
        <xdr:cNvPr id="8232" name="图片 1">
          <a:extLst>
            <a:ext uri="{FF2B5EF4-FFF2-40B4-BE49-F238E27FC236}">
              <a16:creationId xmlns:a16="http://schemas.microsoft.com/office/drawing/2014/main" id="{725B83A5-C282-D312-F394-B5A9718DF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1660" y="876300"/>
          <a:ext cx="4831080" cy="3307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335280</xdr:colOff>
      <xdr:row>3</xdr:row>
      <xdr:rowOff>106680</xdr:rowOff>
    </xdr:from>
    <xdr:to>
      <xdr:col>13</xdr:col>
      <xdr:colOff>251460</xdr:colOff>
      <xdr:row>12</xdr:row>
      <xdr:rowOff>99060</xdr:rowOff>
    </xdr:to>
    <xdr:pic>
      <xdr:nvPicPr>
        <xdr:cNvPr id="8233" name="图片 2">
          <a:extLst>
            <a:ext uri="{FF2B5EF4-FFF2-40B4-BE49-F238E27FC236}">
              <a16:creationId xmlns:a16="http://schemas.microsoft.com/office/drawing/2014/main" id="{D5AA0279-46C7-D5BE-4219-DF169F785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769620"/>
          <a:ext cx="248412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297180</xdr:colOff>
      <xdr:row>4</xdr:row>
      <xdr:rowOff>190500</xdr:rowOff>
    </xdr:from>
    <xdr:to>
      <xdr:col>18</xdr:col>
      <xdr:colOff>365760</xdr:colOff>
      <xdr:row>18</xdr:row>
      <xdr:rowOff>83820</xdr:rowOff>
    </xdr:to>
    <xdr:pic>
      <xdr:nvPicPr>
        <xdr:cNvPr id="8234" name="图片 3">
          <a:extLst>
            <a:ext uri="{FF2B5EF4-FFF2-40B4-BE49-F238E27FC236}">
              <a16:creationId xmlns:a16="http://schemas.microsoft.com/office/drawing/2014/main" id="{A2B4E9D1-9072-796C-2871-6CA9AC0E4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3680" y="1074420"/>
          <a:ext cx="2537460" cy="2987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289560</xdr:colOff>
      <xdr:row>13</xdr:row>
      <xdr:rowOff>114300</xdr:rowOff>
    </xdr:from>
    <xdr:to>
      <xdr:col>14</xdr:col>
      <xdr:colOff>45720</xdr:colOff>
      <xdr:row>18</xdr:row>
      <xdr:rowOff>175260</xdr:rowOff>
    </xdr:to>
    <xdr:pic>
      <xdr:nvPicPr>
        <xdr:cNvPr id="8235" name="图片 4">
          <a:extLst>
            <a:ext uri="{FF2B5EF4-FFF2-40B4-BE49-F238E27FC236}">
              <a16:creationId xmlns:a16="http://schemas.microsoft.com/office/drawing/2014/main" id="{FA767240-3542-A99F-7D85-006C0F0AF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0900" y="2987040"/>
          <a:ext cx="2941320" cy="1165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106680</xdr:colOff>
      <xdr:row>6</xdr:row>
      <xdr:rowOff>7620</xdr:rowOff>
    </xdr:from>
    <xdr:to>
      <xdr:col>12</xdr:col>
      <xdr:colOff>198120</xdr:colOff>
      <xdr:row>19</xdr:row>
      <xdr:rowOff>30480</xdr:rowOff>
    </xdr:to>
    <xdr:pic>
      <xdr:nvPicPr>
        <xdr:cNvPr id="12334" name="图片 1">
          <a:extLst>
            <a:ext uri="{FF2B5EF4-FFF2-40B4-BE49-F238E27FC236}">
              <a16:creationId xmlns:a16="http://schemas.microsoft.com/office/drawing/2014/main" id="{0D2526CC-1ABF-9D1D-CE54-7ACE78CD4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7740" y="1333500"/>
          <a:ext cx="3177540" cy="289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129540</xdr:colOff>
      <xdr:row>6</xdr:row>
      <xdr:rowOff>83820</xdr:rowOff>
    </xdr:from>
    <xdr:to>
      <xdr:col>15</xdr:col>
      <xdr:colOff>121920</xdr:colOff>
      <xdr:row>19</xdr:row>
      <xdr:rowOff>38100</xdr:rowOff>
    </xdr:to>
    <xdr:pic>
      <xdr:nvPicPr>
        <xdr:cNvPr id="12335" name="图片 2">
          <a:extLst>
            <a:ext uri="{FF2B5EF4-FFF2-40B4-BE49-F238E27FC236}">
              <a16:creationId xmlns:a16="http://schemas.microsoft.com/office/drawing/2014/main" id="{3451088D-886C-226D-743D-DF4EA1258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409700"/>
          <a:ext cx="1844040" cy="2827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91440</xdr:colOff>
      <xdr:row>24</xdr:row>
      <xdr:rowOff>144780</xdr:rowOff>
    </xdr:from>
    <xdr:to>
      <xdr:col>11</xdr:col>
      <xdr:colOff>449580</xdr:colOff>
      <xdr:row>35</xdr:row>
      <xdr:rowOff>144780</xdr:rowOff>
    </xdr:to>
    <xdr:pic>
      <xdr:nvPicPr>
        <xdr:cNvPr id="12336" name="图片 3">
          <a:extLst>
            <a:ext uri="{FF2B5EF4-FFF2-40B4-BE49-F238E27FC236}">
              <a16:creationId xmlns:a16="http://schemas.microsoft.com/office/drawing/2014/main" id="{A6112FC8-1BF9-2101-DBFF-97033DFD2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9720" y="5448300"/>
          <a:ext cx="2209800" cy="2430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312420</xdr:colOff>
      <xdr:row>24</xdr:row>
      <xdr:rowOff>15240</xdr:rowOff>
    </xdr:from>
    <xdr:to>
      <xdr:col>20</xdr:col>
      <xdr:colOff>381000</xdr:colOff>
      <xdr:row>35</xdr:row>
      <xdr:rowOff>45720</xdr:rowOff>
    </xdr:to>
    <xdr:pic>
      <xdr:nvPicPr>
        <xdr:cNvPr id="12337" name="图片 4">
          <a:extLst>
            <a:ext uri="{FF2B5EF4-FFF2-40B4-BE49-F238E27FC236}">
              <a16:creationId xmlns:a16="http://schemas.microsoft.com/office/drawing/2014/main" id="{005C593B-7724-F0C0-FF22-1EEEF4ACD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9580" y="5318760"/>
          <a:ext cx="5006340" cy="2461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182880</xdr:colOff>
      <xdr:row>37</xdr:row>
      <xdr:rowOff>175260</xdr:rowOff>
    </xdr:from>
    <xdr:to>
      <xdr:col>11</xdr:col>
      <xdr:colOff>144780</xdr:colOff>
      <xdr:row>52</xdr:row>
      <xdr:rowOff>53340</xdr:rowOff>
    </xdr:to>
    <xdr:pic>
      <xdr:nvPicPr>
        <xdr:cNvPr id="12338" name="图片 5">
          <a:extLst>
            <a:ext uri="{FF2B5EF4-FFF2-40B4-BE49-F238E27FC236}">
              <a16:creationId xmlns:a16="http://schemas.microsoft.com/office/drawing/2014/main" id="{DC009B12-C714-9FED-4D1B-D8E32E9F3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1160" y="8351520"/>
          <a:ext cx="1813560" cy="3192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571500</xdr:colOff>
      <xdr:row>37</xdr:row>
      <xdr:rowOff>175260</xdr:rowOff>
    </xdr:from>
    <xdr:to>
      <xdr:col>15</xdr:col>
      <xdr:colOff>91440</xdr:colOff>
      <xdr:row>53</xdr:row>
      <xdr:rowOff>0</xdr:rowOff>
    </xdr:to>
    <xdr:pic>
      <xdr:nvPicPr>
        <xdr:cNvPr id="12339" name="图片 6">
          <a:extLst>
            <a:ext uri="{FF2B5EF4-FFF2-40B4-BE49-F238E27FC236}">
              <a16:creationId xmlns:a16="http://schemas.microsoft.com/office/drawing/2014/main" id="{200032E8-FBE0-E43F-D821-504C4DD80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1440" y="8351520"/>
          <a:ext cx="1988820" cy="3360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556260</xdr:colOff>
      <xdr:row>6</xdr:row>
      <xdr:rowOff>0</xdr:rowOff>
    </xdr:from>
    <xdr:to>
      <xdr:col>10</xdr:col>
      <xdr:colOff>274320</xdr:colOff>
      <xdr:row>16</xdr:row>
      <xdr:rowOff>213360</xdr:rowOff>
    </xdr:to>
    <xdr:pic>
      <xdr:nvPicPr>
        <xdr:cNvPr id="11316" name="图片 1">
          <a:extLst>
            <a:ext uri="{FF2B5EF4-FFF2-40B4-BE49-F238E27FC236}">
              <a16:creationId xmlns:a16="http://schemas.microsoft.com/office/drawing/2014/main" id="{D8DA9132-B0C8-ACBC-EB2A-BCBEC9270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1325880"/>
          <a:ext cx="2186940" cy="2423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114300</xdr:colOff>
      <xdr:row>9</xdr:row>
      <xdr:rowOff>83820</xdr:rowOff>
    </xdr:from>
    <xdr:to>
      <xdr:col>14</xdr:col>
      <xdr:colOff>464820</xdr:colOff>
      <xdr:row>15</xdr:row>
      <xdr:rowOff>60960</xdr:rowOff>
    </xdr:to>
    <xdr:pic>
      <xdr:nvPicPr>
        <xdr:cNvPr id="11317" name="图片 2">
          <a:extLst>
            <a:ext uri="{FF2B5EF4-FFF2-40B4-BE49-F238E27FC236}">
              <a16:creationId xmlns:a16="http://schemas.microsoft.com/office/drawing/2014/main" id="{6E274287-9F9F-A5E2-2469-EE0F03553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4240" y="2072640"/>
          <a:ext cx="2202180" cy="1303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205740</xdr:colOff>
      <xdr:row>22</xdr:row>
      <xdr:rowOff>121920</xdr:rowOff>
    </xdr:from>
    <xdr:to>
      <xdr:col>12</xdr:col>
      <xdr:colOff>198120</xdr:colOff>
      <xdr:row>34</xdr:row>
      <xdr:rowOff>83820</xdr:rowOff>
    </xdr:to>
    <xdr:pic>
      <xdr:nvPicPr>
        <xdr:cNvPr id="11318" name="图片 3">
          <a:extLst>
            <a:ext uri="{FF2B5EF4-FFF2-40B4-BE49-F238E27FC236}">
              <a16:creationId xmlns:a16="http://schemas.microsoft.com/office/drawing/2014/main" id="{899778E6-65A3-32AB-4FC5-4A3D567CB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983480"/>
          <a:ext cx="3078480" cy="2613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579120</xdr:colOff>
      <xdr:row>22</xdr:row>
      <xdr:rowOff>167640</xdr:rowOff>
    </xdr:from>
    <xdr:to>
      <xdr:col>22</xdr:col>
      <xdr:colOff>38100</xdr:colOff>
      <xdr:row>34</xdr:row>
      <xdr:rowOff>91440</xdr:rowOff>
    </xdr:to>
    <xdr:pic>
      <xdr:nvPicPr>
        <xdr:cNvPr id="11319" name="图片 4">
          <a:extLst>
            <a:ext uri="{FF2B5EF4-FFF2-40B4-BE49-F238E27FC236}">
              <a16:creationId xmlns:a16="http://schemas.microsoft.com/office/drawing/2014/main" id="{371F7F53-2F8E-9E05-AFDA-3E0F5783C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6280" y="5029200"/>
          <a:ext cx="5631180" cy="2575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281940</xdr:colOff>
      <xdr:row>24</xdr:row>
      <xdr:rowOff>7620</xdr:rowOff>
    </xdr:from>
    <xdr:to>
      <xdr:col>18</xdr:col>
      <xdr:colOff>358140</xdr:colOff>
      <xdr:row>33</xdr:row>
      <xdr:rowOff>182880</xdr:rowOff>
    </xdr:to>
    <xdr:pic>
      <xdr:nvPicPr>
        <xdr:cNvPr id="11320" name="图片 5">
          <a:extLst>
            <a:ext uri="{FF2B5EF4-FFF2-40B4-BE49-F238E27FC236}">
              <a16:creationId xmlns:a16="http://schemas.microsoft.com/office/drawing/2014/main" id="{074D5DB6-CDC3-0112-C682-DBFC9EB73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0760" y="5311140"/>
          <a:ext cx="1927860" cy="2164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266700</xdr:colOff>
      <xdr:row>39</xdr:row>
      <xdr:rowOff>0</xdr:rowOff>
    </xdr:from>
    <xdr:to>
      <xdr:col>13</xdr:col>
      <xdr:colOff>259080</xdr:colOff>
      <xdr:row>50</xdr:row>
      <xdr:rowOff>182880</xdr:rowOff>
    </xdr:to>
    <xdr:pic>
      <xdr:nvPicPr>
        <xdr:cNvPr id="11321" name="图片 6">
          <a:extLst>
            <a:ext uri="{FF2B5EF4-FFF2-40B4-BE49-F238E27FC236}">
              <a16:creationId xmlns:a16="http://schemas.microsoft.com/office/drawing/2014/main" id="{17B5026C-3860-D2C8-75F6-E9F843FF3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8618220"/>
          <a:ext cx="2461260" cy="2613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396240</xdr:colOff>
      <xdr:row>38</xdr:row>
      <xdr:rowOff>160020</xdr:rowOff>
    </xdr:from>
    <xdr:to>
      <xdr:col>22</xdr:col>
      <xdr:colOff>449580</xdr:colOff>
      <xdr:row>43</xdr:row>
      <xdr:rowOff>190500</xdr:rowOff>
    </xdr:to>
    <xdr:pic>
      <xdr:nvPicPr>
        <xdr:cNvPr id="11322" name="图片 7">
          <a:extLst>
            <a:ext uri="{FF2B5EF4-FFF2-40B4-BE49-F238E27FC236}">
              <a16:creationId xmlns:a16="http://schemas.microsoft.com/office/drawing/2014/main" id="{798F8D98-69A4-DF07-60E7-EEEB5AFB2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70620" y="8557260"/>
          <a:ext cx="5608320" cy="1135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53340</xdr:colOff>
      <xdr:row>2</xdr:row>
      <xdr:rowOff>175260</xdr:rowOff>
    </xdr:from>
    <xdr:to>
      <xdr:col>14</xdr:col>
      <xdr:colOff>121920</xdr:colOff>
      <xdr:row>12</xdr:row>
      <xdr:rowOff>99060</xdr:rowOff>
    </xdr:to>
    <xdr:pic>
      <xdr:nvPicPr>
        <xdr:cNvPr id="10255" name="图片 1">
          <a:extLst>
            <a:ext uri="{FF2B5EF4-FFF2-40B4-BE49-F238E27FC236}">
              <a16:creationId xmlns:a16="http://schemas.microsoft.com/office/drawing/2014/main" id="{E6BE7C84-9F19-A2FA-88D2-A1120A7AE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0" y="617220"/>
          <a:ext cx="1303020" cy="213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426720</xdr:colOff>
      <xdr:row>14</xdr:row>
      <xdr:rowOff>190500</xdr:rowOff>
    </xdr:from>
    <xdr:to>
      <xdr:col>7</xdr:col>
      <xdr:colOff>594360</xdr:colOff>
      <xdr:row>31</xdr:row>
      <xdr:rowOff>45720</xdr:rowOff>
    </xdr:to>
    <xdr:pic>
      <xdr:nvPicPr>
        <xdr:cNvPr id="10256" name="图片 2">
          <a:extLst>
            <a:ext uri="{FF2B5EF4-FFF2-40B4-BE49-F238E27FC236}">
              <a16:creationId xmlns:a16="http://schemas.microsoft.com/office/drawing/2014/main" id="{8C6970C3-4C1C-CC7A-4B75-C0001B53C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3284220"/>
          <a:ext cx="3253740" cy="3611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480060</xdr:colOff>
      <xdr:row>3</xdr:row>
      <xdr:rowOff>205740</xdr:rowOff>
    </xdr:from>
    <xdr:to>
      <xdr:col>17</xdr:col>
      <xdr:colOff>403860</xdr:colOff>
      <xdr:row>17</xdr:row>
      <xdr:rowOff>137160</xdr:rowOff>
    </xdr:to>
    <xdr:pic>
      <xdr:nvPicPr>
        <xdr:cNvPr id="9225" name="图片 1">
          <a:extLst>
            <a:ext uri="{FF2B5EF4-FFF2-40B4-BE49-F238E27FC236}">
              <a16:creationId xmlns:a16="http://schemas.microsoft.com/office/drawing/2014/main" id="{7173E9A1-F3BA-B5C8-CD10-23D1A1328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69780" y="868680"/>
          <a:ext cx="3009900" cy="3032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9FD1EEC-F7AD-4BCA-8B45-7C7298041B7B}">
  <we:reference id="wa104379220" version="8.0.0.0" store="zh-CN" storeType="OMEX"/>
  <we:alternateReferences>
    <we:reference id="wa104379220" version="8.0.0.0" store="WA104379220" storeType="OMEX"/>
  </we:alternateReferences>
  <we:properties>
    <we:property name="Office.AutoShowTaskpaneWithDocument" value="true"/>
    <we:property name="stocksChange" value="{}"/>
    <we:property name="stocks" value="{}"/>
    <we:property name="stocksOrder" value="[]"/>
    <we:property name="updateIntervalIndex" value="2"/>
    <we:property name="stocksSources" value="{}"/>
    <we:property name="lastCryptoCompare" value="0"/>
    <we:property name="lastIexCall" value="0"/>
    <we:property name="lastMutualFundsCall" value="0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EDC49-874B-4F4A-B871-7B1ED60F8103}">
  <dimension ref="D4:G14"/>
  <sheetViews>
    <sheetView workbookViewId="0">
      <selection activeCell="I8" sqref="I8"/>
    </sheetView>
  </sheetViews>
  <sheetFormatPr defaultColWidth="9" defaultRowHeight="15.6" x14ac:dyDescent="0.25"/>
  <cols>
    <col min="1" max="3" width="9" style="1"/>
    <col min="4" max="6" width="23.6640625" style="3" customWidth="1"/>
    <col min="7" max="7" width="23.88671875" style="3" customWidth="1"/>
    <col min="8" max="10" width="18.33203125" style="1" customWidth="1"/>
    <col min="11" max="16384" width="9" style="1"/>
  </cols>
  <sheetData>
    <row r="4" spans="4:7" ht="35.25" customHeight="1" x14ac:dyDescent="0.25">
      <c r="D4" s="37" t="s">
        <v>0</v>
      </c>
      <c r="E4" s="37"/>
      <c r="F4" s="37"/>
      <c r="G4" s="37"/>
    </row>
    <row r="6" spans="4:7" ht="30" customHeight="1" x14ac:dyDescent="0.25">
      <c r="D6" s="38" t="s">
        <v>1</v>
      </c>
      <c r="E6" s="38"/>
      <c r="F6" s="38"/>
      <c r="G6" s="38"/>
    </row>
    <row r="7" spans="4:7" ht="8.25" customHeight="1" x14ac:dyDescent="0.25"/>
    <row r="8" spans="4:7" ht="59.25" customHeight="1" x14ac:dyDescent="0.25">
      <c r="D8" s="30" t="s">
        <v>2</v>
      </c>
      <c r="E8" s="30" t="s">
        <v>3</v>
      </c>
      <c r="F8" s="30" t="s">
        <v>4</v>
      </c>
      <c r="G8" s="30" t="s">
        <v>5</v>
      </c>
    </row>
    <row r="9" spans="4:7" ht="30" customHeight="1" x14ac:dyDescent="0.25">
      <c r="D9" s="31" t="s">
        <v>6</v>
      </c>
      <c r="E9" s="32" t="s">
        <v>7</v>
      </c>
      <c r="F9" s="32" t="s">
        <v>8</v>
      </c>
      <c r="G9" s="32" t="s">
        <v>9</v>
      </c>
    </row>
    <row r="10" spans="4:7" ht="59.25" customHeight="1" x14ac:dyDescent="0.25">
      <c r="D10" s="30" t="s">
        <v>10</v>
      </c>
      <c r="E10" s="30" t="s">
        <v>11</v>
      </c>
      <c r="F10" s="36" t="s">
        <v>223</v>
      </c>
      <c r="G10" s="30" t="s">
        <v>12</v>
      </c>
    </row>
    <row r="11" spans="4:7" ht="30" customHeight="1" x14ac:dyDescent="0.25">
      <c r="D11" s="31" t="s">
        <v>13</v>
      </c>
      <c r="E11" s="32" t="s">
        <v>14</v>
      </c>
      <c r="F11" s="32" t="s">
        <v>15</v>
      </c>
      <c r="G11" s="32" t="s">
        <v>16</v>
      </c>
    </row>
    <row r="12" spans="4:7" ht="59.25" customHeight="1" x14ac:dyDescent="0.25">
      <c r="D12" s="30" t="s">
        <v>17</v>
      </c>
      <c r="E12" s="30" t="s">
        <v>18</v>
      </c>
      <c r="F12" s="30" t="s">
        <v>19</v>
      </c>
      <c r="G12" s="30" t="s">
        <v>20</v>
      </c>
    </row>
    <row r="13" spans="4:7" ht="30" customHeight="1" x14ac:dyDescent="0.25">
      <c r="D13" s="33" t="s">
        <v>21</v>
      </c>
      <c r="E13" s="34" t="s">
        <v>22</v>
      </c>
      <c r="F13" s="34" t="s">
        <v>23</v>
      </c>
      <c r="G13" s="34" t="s">
        <v>24</v>
      </c>
    </row>
    <row r="14" spans="4:7" ht="42.75" customHeight="1" x14ac:dyDescent="0.25">
      <c r="D14" s="35"/>
      <c r="E14" s="35"/>
      <c r="F14" s="35"/>
      <c r="G14" s="35"/>
    </row>
  </sheetData>
  <mergeCells count="2">
    <mergeCell ref="D4:G4"/>
    <mergeCell ref="D6:G6"/>
  </mergeCells>
  <phoneticPr fontId="24" type="noConversion"/>
  <hyperlinks>
    <hyperlink ref="D8" location="初始化设置!A1" display="初始化设置" xr:uid="{A4812EE6-A057-4520-9881-97E8F8603240}"/>
    <hyperlink ref="E8" location="系统自带快捷键!A1" display="系统自带快捷键" xr:uid="{250344FF-6B99-4DC0-931E-A3B33136A443}"/>
    <hyperlink ref="F8" location="自定义快捷键!A1" display="自定义快捷键" xr:uid="{89A477B2-9D04-4A0B-8FC1-52039514FD46}"/>
    <hyperlink ref="G8" location="分级显示!A1" display="分级显示" xr:uid="{8428C334-228F-4E6C-92CD-4A24CC5A798C}"/>
    <hyperlink ref="D10" location="下拉菜单!A1" display="下拉菜单" xr:uid="{2FCBC095-AEB3-4660-8717-B7C2FD6144C1}"/>
    <hyperlink ref="E10" location="二级下拉菜单!A1" display="二级下拉菜单" xr:uid="{3EED6CE9-EE94-4E5D-B9D0-0602EB6E7735}"/>
    <hyperlink ref="F10" location="单元格格式!A1" display="单元格格式!A1" xr:uid="{9D18ACC2-1EA9-47A4-8CC3-45CE345D24F1}"/>
    <hyperlink ref="G10" location="字体美化技术!A1" display="字体美化技术" xr:uid="{42F8EB81-A065-43DA-AE73-8346FF8038EC}"/>
    <hyperlink ref="D12" location="数据合并!A1" display="数据合并" xr:uid="{842F54BF-DF9A-4146-AC2F-8809A0E346C0}"/>
    <hyperlink ref="E12" location="数据排序!A1" display="数据排序" xr:uid="{92D2BDA2-CBBE-4A02-B140-C77A53159BAD}"/>
    <hyperlink ref="F12" location="数据拆分!A1" display="数据拆分" xr:uid="{1F57D9F5-DDB7-4DCD-8DD4-7F933DCBA18E}"/>
    <hyperlink ref="G12" location="数据筛选!A1" display="数据筛选" xr:uid="{9E2D1FA7-5532-49EF-95BC-4AAACC025938}"/>
  </hyperlink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94764-6913-46F6-AEA5-7854409BD963}">
  <sheetPr>
    <tabColor theme="4"/>
  </sheetPr>
  <dimension ref="B2:F9"/>
  <sheetViews>
    <sheetView tabSelected="1" topLeftCell="A4" zoomScaleNormal="100" workbookViewId="0"/>
  </sheetViews>
  <sheetFormatPr defaultColWidth="9" defaultRowHeight="15.6" x14ac:dyDescent="0.25"/>
  <cols>
    <col min="1" max="1" width="9" style="1"/>
    <col min="2" max="2" width="14.77734375" style="1" customWidth="1"/>
    <col min="3" max="16384" width="9" style="1"/>
  </cols>
  <sheetData>
    <row r="2" spans="2:6" ht="16.2" x14ac:dyDescent="0.25">
      <c r="B2" s="26" t="s">
        <v>25</v>
      </c>
    </row>
    <row r="4" spans="2:6" ht="16.2" x14ac:dyDescent="0.25">
      <c r="B4" s="29" t="s">
        <v>26</v>
      </c>
    </row>
    <row r="5" spans="2:6" ht="16.2" x14ac:dyDescent="0.25">
      <c r="B5" s="29" t="s">
        <v>27</v>
      </c>
    </row>
    <row r="6" spans="2:6" x14ac:dyDescent="0.25">
      <c r="B6" s="39" t="s">
        <v>28</v>
      </c>
      <c r="C6" s="39"/>
      <c r="D6" s="39"/>
      <c r="E6" s="39"/>
      <c r="F6" s="39"/>
    </row>
    <row r="7" spans="2:6" x14ac:dyDescent="0.25">
      <c r="B7" s="39"/>
      <c r="C7" s="39"/>
      <c r="D7" s="39"/>
      <c r="E7" s="39"/>
      <c r="F7" s="39"/>
    </row>
    <row r="8" spans="2:6" x14ac:dyDescent="0.25">
      <c r="B8" s="39"/>
      <c r="C8" s="39"/>
      <c r="D8" s="39"/>
      <c r="E8" s="39"/>
      <c r="F8" s="39"/>
    </row>
    <row r="9" spans="2:6" x14ac:dyDescent="0.25">
      <c r="B9" s="39"/>
      <c r="C9" s="39"/>
      <c r="D9" s="39"/>
      <c r="E9" s="39"/>
      <c r="F9" s="39"/>
    </row>
  </sheetData>
  <mergeCells count="1">
    <mergeCell ref="B6:F9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D30BC-4868-4B56-9E6B-7A2BF6A0AC8C}">
  <sheetPr>
    <tabColor theme="4"/>
  </sheetPr>
  <dimension ref="B2:M30"/>
  <sheetViews>
    <sheetView workbookViewId="0">
      <selection activeCell="F34" sqref="F34"/>
    </sheetView>
  </sheetViews>
  <sheetFormatPr defaultColWidth="9" defaultRowHeight="15.6" x14ac:dyDescent="0.25"/>
  <cols>
    <col min="1" max="1" width="9" style="1"/>
    <col min="2" max="2" width="16.88671875" style="1" customWidth="1"/>
    <col min="3" max="3" width="9.6640625" style="1" customWidth="1"/>
    <col min="4" max="16384" width="9" style="1"/>
  </cols>
  <sheetData>
    <row r="2" spans="2:13" ht="16.2" x14ac:dyDescent="0.25">
      <c r="B2" s="26" t="s">
        <v>29</v>
      </c>
      <c r="C2" s="39" t="s">
        <v>30</v>
      </c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2:13" x14ac:dyDescent="0.25"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spans="2:13" x14ac:dyDescent="0.25"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2:13" x14ac:dyDescent="0.25"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</row>
    <row r="6" spans="2:13" x14ac:dyDescent="0.25">
      <c r="B6" s="1" t="s">
        <v>31</v>
      </c>
      <c r="C6" s="1" t="s">
        <v>32</v>
      </c>
    </row>
    <row r="8" spans="2:13" x14ac:dyDescent="0.25">
      <c r="C8" s="3" t="s">
        <v>33</v>
      </c>
      <c r="D8" s="3" t="s">
        <v>34</v>
      </c>
      <c r="E8" s="1" t="s">
        <v>35</v>
      </c>
    </row>
    <row r="9" spans="2:13" x14ac:dyDescent="0.25">
      <c r="C9" s="3" t="s">
        <v>33</v>
      </c>
      <c r="D9" s="3" t="s">
        <v>36</v>
      </c>
      <c r="E9" s="1" t="s">
        <v>37</v>
      </c>
    </row>
    <row r="10" spans="2:13" x14ac:dyDescent="0.25">
      <c r="C10" s="3" t="s">
        <v>33</v>
      </c>
      <c r="D10" s="3" t="s">
        <v>38</v>
      </c>
      <c r="E10" s="1" t="s">
        <v>39</v>
      </c>
    </row>
    <row r="11" spans="2:13" x14ac:dyDescent="0.25">
      <c r="C11" s="3" t="s">
        <v>33</v>
      </c>
      <c r="D11" s="3" t="s">
        <v>40</v>
      </c>
      <c r="E11" s="28" t="s">
        <v>41</v>
      </c>
    </row>
    <row r="12" spans="2:13" x14ac:dyDescent="0.25">
      <c r="C12" s="3" t="s">
        <v>33</v>
      </c>
      <c r="D12" s="3" t="s">
        <v>42</v>
      </c>
      <c r="E12" s="1" t="s">
        <v>43</v>
      </c>
    </row>
    <row r="13" spans="2:13" x14ac:dyDescent="0.25">
      <c r="C13" s="3" t="s">
        <v>33</v>
      </c>
      <c r="D13" s="3" t="s">
        <v>44</v>
      </c>
      <c r="E13" s="1" t="s">
        <v>45</v>
      </c>
    </row>
    <row r="14" spans="2:13" x14ac:dyDescent="0.25">
      <c r="C14" s="3" t="s">
        <v>33</v>
      </c>
      <c r="D14" s="3" t="s">
        <v>46</v>
      </c>
      <c r="E14" s="1" t="s">
        <v>47</v>
      </c>
    </row>
    <row r="15" spans="2:13" x14ac:dyDescent="0.25">
      <c r="C15" s="3" t="s">
        <v>33</v>
      </c>
      <c r="D15" s="3" t="s">
        <v>48</v>
      </c>
      <c r="E15" s="1" t="s">
        <v>49</v>
      </c>
    </row>
    <row r="16" spans="2:13" x14ac:dyDescent="0.25">
      <c r="C16" s="3" t="s">
        <v>33</v>
      </c>
      <c r="D16" s="3" t="s">
        <v>50</v>
      </c>
      <c r="E16" s="1" t="s">
        <v>51</v>
      </c>
    </row>
    <row r="17" spans="2:5" x14ac:dyDescent="0.25">
      <c r="C17" s="3" t="s">
        <v>33</v>
      </c>
      <c r="D17" s="3" t="s">
        <v>52</v>
      </c>
      <c r="E17" s="1" t="s">
        <v>53</v>
      </c>
    </row>
    <row r="18" spans="2:5" x14ac:dyDescent="0.25">
      <c r="C18" s="3" t="s">
        <v>33</v>
      </c>
      <c r="D18" s="3" t="s">
        <v>54</v>
      </c>
      <c r="E18" s="1" t="s">
        <v>55</v>
      </c>
    </row>
    <row r="19" spans="2:5" x14ac:dyDescent="0.25">
      <c r="C19" s="3" t="s">
        <v>33</v>
      </c>
      <c r="D19" s="3" t="s">
        <v>56</v>
      </c>
      <c r="E19" s="1" t="s">
        <v>57</v>
      </c>
    </row>
    <row r="20" spans="2:5" x14ac:dyDescent="0.25">
      <c r="C20" s="3" t="s">
        <v>33</v>
      </c>
      <c r="D20" s="3" t="s">
        <v>58</v>
      </c>
      <c r="E20" s="1" t="s">
        <v>59</v>
      </c>
    </row>
    <row r="21" spans="2:5" x14ac:dyDescent="0.25">
      <c r="C21" s="3" t="s">
        <v>33</v>
      </c>
      <c r="D21" s="3" t="s">
        <v>60</v>
      </c>
      <c r="E21" s="1" t="s">
        <v>61</v>
      </c>
    </row>
    <row r="22" spans="2:5" x14ac:dyDescent="0.25">
      <c r="C22" s="3" t="s">
        <v>33</v>
      </c>
      <c r="D22" s="3" t="s">
        <v>62</v>
      </c>
      <c r="E22" s="1" t="s">
        <v>63</v>
      </c>
    </row>
    <row r="23" spans="2:5" x14ac:dyDescent="0.25">
      <c r="C23" s="3" t="s">
        <v>33</v>
      </c>
      <c r="D23" s="1" t="s">
        <v>64</v>
      </c>
      <c r="E23" s="1" t="s">
        <v>65</v>
      </c>
    </row>
    <row r="24" spans="2:5" x14ac:dyDescent="0.25">
      <c r="C24" s="3"/>
    </row>
    <row r="26" spans="2:5" x14ac:dyDescent="0.25">
      <c r="C26" s="1" t="s">
        <v>66</v>
      </c>
    </row>
    <row r="27" spans="2:5" x14ac:dyDescent="0.25">
      <c r="C27" s="1" t="s">
        <v>67</v>
      </c>
    </row>
    <row r="28" spans="2:5" x14ac:dyDescent="0.25">
      <c r="C28" s="1" t="s">
        <v>68</v>
      </c>
    </row>
    <row r="30" spans="2:5" x14ac:dyDescent="0.25">
      <c r="B30" s="1" t="s">
        <v>69</v>
      </c>
    </row>
  </sheetData>
  <mergeCells count="1">
    <mergeCell ref="C2:M5"/>
  </mergeCells>
  <phoneticPr fontId="24" type="noConversion"/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B02A8-7F0C-4B77-855D-5C91D834B86B}">
  <sheetPr>
    <tabColor theme="4"/>
  </sheetPr>
  <dimension ref="B3:J18"/>
  <sheetViews>
    <sheetView workbookViewId="0">
      <selection activeCell="F30" sqref="F30"/>
    </sheetView>
  </sheetViews>
  <sheetFormatPr defaultColWidth="9" defaultRowHeight="15.6" x14ac:dyDescent="0.25"/>
  <cols>
    <col min="1" max="16384" width="9" style="1"/>
  </cols>
  <sheetData>
    <row r="3" spans="2:10" ht="20.399999999999999" x14ac:dyDescent="0.25">
      <c r="B3" s="25" t="s">
        <v>70</v>
      </c>
      <c r="D3" s="41" t="s">
        <v>71</v>
      </c>
      <c r="E3" s="41"/>
      <c r="F3" s="41"/>
      <c r="G3" s="41"/>
      <c r="H3" s="41"/>
      <c r="I3" s="41"/>
      <c r="J3" s="41"/>
    </row>
    <row r="4" spans="2:10" x14ac:dyDescent="0.25">
      <c r="D4" s="41"/>
      <c r="E4" s="41"/>
      <c r="F4" s="41"/>
      <c r="G4" s="41"/>
      <c r="H4" s="41"/>
      <c r="I4" s="41"/>
      <c r="J4" s="41"/>
    </row>
    <row r="5" spans="2:10" x14ac:dyDescent="0.25">
      <c r="D5" s="41"/>
      <c r="E5" s="41"/>
      <c r="F5" s="41"/>
      <c r="G5" s="41"/>
      <c r="H5" s="41"/>
      <c r="I5" s="41"/>
      <c r="J5" s="41"/>
    </row>
    <row r="7" spans="2:10" x14ac:dyDescent="0.25">
      <c r="B7" s="40" t="s">
        <v>72</v>
      </c>
      <c r="C7" s="40"/>
      <c r="D7" s="1" t="s">
        <v>73</v>
      </c>
    </row>
    <row r="8" spans="2:10" x14ac:dyDescent="0.25">
      <c r="B8" s="40" t="s">
        <v>74</v>
      </c>
      <c r="C8" s="40"/>
      <c r="D8" s="1" t="s">
        <v>75</v>
      </c>
    </row>
    <row r="9" spans="2:10" x14ac:dyDescent="0.25">
      <c r="D9" s="1" t="s">
        <v>76</v>
      </c>
    </row>
    <row r="10" spans="2:10" x14ac:dyDescent="0.25">
      <c r="B10" s="40" t="s">
        <v>77</v>
      </c>
      <c r="C10" s="40"/>
      <c r="D10" s="1" t="s">
        <v>78</v>
      </c>
    </row>
    <row r="11" spans="2:10" x14ac:dyDescent="0.25">
      <c r="D11" s="1" t="s">
        <v>79</v>
      </c>
    </row>
    <row r="12" spans="2:10" x14ac:dyDescent="0.25">
      <c r="D12" s="1" t="s">
        <v>80</v>
      </c>
    </row>
    <row r="15" spans="2:10" x14ac:dyDescent="0.25">
      <c r="B15" s="39" t="s">
        <v>81</v>
      </c>
      <c r="C15" s="39"/>
      <c r="D15" s="39"/>
      <c r="E15" s="39"/>
      <c r="F15" s="39"/>
      <c r="G15" s="39"/>
      <c r="H15" s="39"/>
      <c r="I15" s="39"/>
      <c r="J15" s="39"/>
    </row>
    <row r="16" spans="2:10" x14ac:dyDescent="0.25">
      <c r="B16" s="39"/>
      <c r="C16" s="39"/>
      <c r="D16" s="39"/>
      <c r="E16" s="39"/>
      <c r="F16" s="39"/>
      <c r="G16" s="39"/>
      <c r="H16" s="39"/>
      <c r="I16" s="39"/>
      <c r="J16" s="39"/>
    </row>
    <row r="17" spans="2:10" x14ac:dyDescent="0.25">
      <c r="B17" s="39"/>
      <c r="C17" s="39"/>
      <c r="D17" s="39"/>
      <c r="E17" s="39"/>
      <c r="F17" s="39"/>
      <c r="G17" s="39"/>
      <c r="H17" s="39"/>
      <c r="I17" s="39"/>
      <c r="J17" s="39"/>
    </row>
    <row r="18" spans="2:10" x14ac:dyDescent="0.25">
      <c r="B18" s="39"/>
      <c r="C18" s="39"/>
      <c r="D18" s="39"/>
      <c r="E18" s="39"/>
      <c r="F18" s="39"/>
      <c r="G18" s="39"/>
      <c r="H18" s="39"/>
      <c r="I18" s="39"/>
      <c r="J18" s="39"/>
    </row>
  </sheetData>
  <mergeCells count="5">
    <mergeCell ref="B7:C7"/>
    <mergeCell ref="B8:C8"/>
    <mergeCell ref="B10:C10"/>
    <mergeCell ref="D3:J5"/>
    <mergeCell ref="B15:J18"/>
  </mergeCells>
  <phoneticPr fontId="24" type="noConversion"/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62947-5FEC-492B-A352-CDB69E8DEAD6}">
  <sheetPr>
    <tabColor theme="4"/>
  </sheetPr>
  <dimension ref="B3:C47"/>
  <sheetViews>
    <sheetView workbookViewId="0">
      <selection activeCell="C35" sqref="C35"/>
    </sheetView>
  </sheetViews>
  <sheetFormatPr defaultColWidth="9" defaultRowHeight="15.6" outlineLevelRow="2" x14ac:dyDescent="0.25"/>
  <cols>
    <col min="1" max="1" width="9" style="1"/>
    <col min="2" max="2" width="18.88671875" style="1" customWidth="1"/>
    <col min="3" max="3" width="13.44140625" style="1" customWidth="1"/>
    <col min="4" max="16384" width="9" style="1"/>
  </cols>
  <sheetData>
    <row r="3" spans="2:3" ht="24" customHeight="1" x14ac:dyDescent="0.25">
      <c r="B3" s="25" t="s">
        <v>82</v>
      </c>
      <c r="C3" s="1" t="s">
        <v>83</v>
      </c>
    </row>
    <row r="11" spans="2:3" x14ac:dyDescent="0.25">
      <c r="B11" s="1" t="s">
        <v>84</v>
      </c>
    </row>
    <row r="13" spans="2:3" x14ac:dyDescent="0.25">
      <c r="B13" s="1" t="s">
        <v>85</v>
      </c>
    </row>
    <row r="21" spans="2:2" x14ac:dyDescent="0.25">
      <c r="B21" s="1" t="s">
        <v>86</v>
      </c>
    </row>
    <row r="23" spans="2:2" x14ac:dyDescent="0.25">
      <c r="B23" s="1" t="s">
        <v>87</v>
      </c>
    </row>
    <row r="34" spans="2:3" ht="16.2" x14ac:dyDescent="0.25">
      <c r="B34" s="26" t="s">
        <v>88</v>
      </c>
      <c r="C34" s="27">
        <f>C35+C39+C43</f>
        <v>600</v>
      </c>
    </row>
    <row r="35" spans="2:3" ht="26.25" customHeight="1" x14ac:dyDescent="0.25">
      <c r="B35" s="26" t="s">
        <v>89</v>
      </c>
      <c r="C35" s="27">
        <v>100</v>
      </c>
    </row>
    <row r="36" spans="2:3" ht="26.25" hidden="1" customHeight="1" outlineLevel="1" x14ac:dyDescent="0.25">
      <c r="B36" s="1" t="s">
        <v>90</v>
      </c>
      <c r="C36" s="16"/>
    </row>
    <row r="37" spans="2:3" ht="26.25" hidden="1" customHeight="1" outlineLevel="2" x14ac:dyDescent="0.25">
      <c r="B37" s="1" t="s">
        <v>91</v>
      </c>
      <c r="C37" s="16"/>
    </row>
    <row r="38" spans="2:3" ht="26.25" hidden="1" customHeight="1" outlineLevel="2" x14ac:dyDescent="0.25">
      <c r="B38" s="1" t="s">
        <v>92</v>
      </c>
      <c r="C38" s="16"/>
    </row>
    <row r="39" spans="2:3" ht="26.25" customHeight="1" collapsed="1" x14ac:dyDescent="0.25">
      <c r="B39" s="26" t="s">
        <v>93</v>
      </c>
      <c r="C39" s="27">
        <v>200</v>
      </c>
    </row>
    <row r="40" spans="2:3" ht="26.25" hidden="1" customHeight="1" outlineLevel="1" x14ac:dyDescent="0.25">
      <c r="B40" s="1" t="s">
        <v>90</v>
      </c>
      <c r="C40" s="16"/>
    </row>
    <row r="41" spans="2:3" ht="26.25" hidden="1" customHeight="1" outlineLevel="2" x14ac:dyDescent="0.25">
      <c r="B41" s="1" t="s">
        <v>91</v>
      </c>
      <c r="C41" s="16"/>
    </row>
    <row r="42" spans="2:3" ht="26.25" hidden="1" customHeight="1" outlineLevel="2" x14ac:dyDescent="0.25">
      <c r="B42" s="1" t="s">
        <v>92</v>
      </c>
      <c r="C42" s="16"/>
    </row>
    <row r="43" spans="2:3" ht="26.25" customHeight="1" collapsed="1" x14ac:dyDescent="0.25">
      <c r="B43" s="26" t="s">
        <v>94</v>
      </c>
      <c r="C43" s="27">
        <v>300</v>
      </c>
    </row>
    <row r="44" spans="2:3" ht="26.25" hidden="1" customHeight="1" outlineLevel="1" x14ac:dyDescent="0.25">
      <c r="B44" s="1" t="s">
        <v>90</v>
      </c>
      <c r="C44" s="16"/>
    </row>
    <row r="45" spans="2:3" ht="26.25" hidden="1" customHeight="1" outlineLevel="2" x14ac:dyDescent="0.25">
      <c r="B45" s="1" t="s">
        <v>91</v>
      </c>
      <c r="C45" s="16"/>
    </row>
    <row r="46" spans="2:3" ht="26.25" hidden="1" customHeight="1" outlineLevel="2" x14ac:dyDescent="0.25">
      <c r="B46" s="1" t="s">
        <v>92</v>
      </c>
      <c r="C46" s="16"/>
    </row>
    <row r="47" spans="2:3" collapsed="1" x14ac:dyDescent="0.25"/>
  </sheetData>
  <phoneticPr fontId="2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08494-50E5-4EC5-94AB-F1D8FA574E18}">
  <sheetPr>
    <tabColor rgb="FF00B050"/>
  </sheetPr>
  <dimension ref="B1:J10"/>
  <sheetViews>
    <sheetView workbookViewId="0">
      <selection activeCell="H33" sqref="H33"/>
    </sheetView>
  </sheetViews>
  <sheetFormatPr defaultColWidth="9" defaultRowHeight="15.6" x14ac:dyDescent="0.25"/>
  <cols>
    <col min="1" max="1" width="9" style="1"/>
    <col min="2" max="2" width="11" style="1" customWidth="1"/>
    <col min="3" max="4" width="9" style="1"/>
    <col min="5" max="5" width="11" style="1" customWidth="1"/>
    <col min="6" max="8" width="9" style="1"/>
    <col min="9" max="9" width="10.44140625" style="3" customWidth="1"/>
    <col min="10" max="16384" width="9" style="1"/>
  </cols>
  <sheetData>
    <row r="1" spans="2:10" ht="24" customHeight="1" x14ac:dyDescent="0.25"/>
    <row r="2" spans="2:10" ht="24" customHeight="1" x14ac:dyDescent="0.25">
      <c r="B2" s="2" t="s">
        <v>95</v>
      </c>
      <c r="E2" s="2" t="s">
        <v>96</v>
      </c>
    </row>
    <row r="3" spans="2:10" x14ac:dyDescent="0.25">
      <c r="C3" s="24" t="s">
        <v>97</v>
      </c>
      <c r="F3" s="24" t="s">
        <v>97</v>
      </c>
    </row>
    <row r="4" spans="2:10" x14ac:dyDescent="0.25">
      <c r="C4" s="3" t="s">
        <v>98</v>
      </c>
      <c r="F4" s="3" t="s">
        <v>99</v>
      </c>
    </row>
    <row r="5" spans="2:10" x14ac:dyDescent="0.25">
      <c r="C5" s="3" t="s">
        <v>100</v>
      </c>
      <c r="F5" s="3" t="s">
        <v>98</v>
      </c>
    </row>
    <row r="6" spans="2:10" x14ac:dyDescent="0.25">
      <c r="C6" s="3" t="s">
        <v>101</v>
      </c>
      <c r="F6" s="3" t="s">
        <v>101</v>
      </c>
      <c r="I6" s="3" t="s">
        <v>72</v>
      </c>
      <c r="J6" s="1" t="s">
        <v>102</v>
      </c>
    </row>
    <row r="7" spans="2:10" x14ac:dyDescent="0.25">
      <c r="C7" s="3" t="s">
        <v>103</v>
      </c>
      <c r="F7" s="3" t="s">
        <v>100</v>
      </c>
      <c r="I7" s="3" t="s">
        <v>74</v>
      </c>
      <c r="J7" s="1" t="s">
        <v>104</v>
      </c>
    </row>
    <row r="8" spans="2:10" x14ac:dyDescent="0.25">
      <c r="C8" s="3" t="s">
        <v>99</v>
      </c>
      <c r="F8" s="3" t="s">
        <v>99</v>
      </c>
      <c r="I8" s="3" t="s">
        <v>77</v>
      </c>
      <c r="J8" s="1" t="s">
        <v>105</v>
      </c>
    </row>
    <row r="9" spans="2:10" x14ac:dyDescent="0.25">
      <c r="F9" s="3"/>
      <c r="I9" s="3" t="s">
        <v>106</v>
      </c>
      <c r="J9" s="1" t="s">
        <v>107</v>
      </c>
    </row>
    <row r="10" spans="2:10" x14ac:dyDescent="0.25">
      <c r="J10" s="1" t="s">
        <v>108</v>
      </c>
    </row>
  </sheetData>
  <phoneticPr fontId="24" type="noConversion"/>
  <dataValidations count="1">
    <dataValidation type="list" allowBlank="1" showInputMessage="1" showErrorMessage="1" sqref="F4:F8" xr:uid="{41FF16D8-290B-4C50-B0DC-5E55F594B4A5}">
      <formula1>$C$4:$C$12</formula1>
    </dataValidation>
  </dataValidations>
  <pageMargins left="0.7" right="0.7" top="0.75" bottom="0.75" header="0.3" footer="0.3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D96F3-CEAA-4918-85B9-B6AE3A65D07A}">
  <sheetPr>
    <tabColor rgb="FF00B050"/>
  </sheetPr>
  <dimension ref="B2:L21"/>
  <sheetViews>
    <sheetView workbookViewId="0"/>
  </sheetViews>
  <sheetFormatPr defaultColWidth="9" defaultRowHeight="17.399999999999999" x14ac:dyDescent="0.25"/>
  <cols>
    <col min="1" max="1" width="9" style="1"/>
    <col min="2" max="2" width="13.88671875" style="2" customWidth="1"/>
    <col min="3" max="3" width="13.88671875" style="1" customWidth="1"/>
    <col min="4" max="16384" width="9" style="1"/>
  </cols>
  <sheetData>
    <row r="2" spans="2:12" x14ac:dyDescent="0.25">
      <c r="B2" s="2" t="s">
        <v>11</v>
      </c>
      <c r="C2" s="39" t="s">
        <v>109</v>
      </c>
      <c r="D2" s="39"/>
      <c r="E2" s="39"/>
      <c r="F2" s="39"/>
      <c r="G2" s="39"/>
      <c r="H2" s="39"/>
      <c r="I2" s="39"/>
      <c r="J2" s="39"/>
      <c r="K2" s="39"/>
    </row>
    <row r="3" spans="2:12" x14ac:dyDescent="0.25">
      <c r="C3" s="39"/>
      <c r="D3" s="39"/>
      <c r="E3" s="39"/>
      <c r="F3" s="39"/>
      <c r="G3" s="39"/>
      <c r="H3" s="39"/>
      <c r="I3" s="39"/>
      <c r="J3" s="39"/>
      <c r="K3" s="39"/>
    </row>
    <row r="4" spans="2:12" x14ac:dyDescent="0.25">
      <c r="C4" s="39"/>
      <c r="D4" s="39"/>
      <c r="E4" s="39"/>
      <c r="F4" s="39"/>
      <c r="G4" s="39"/>
      <c r="H4" s="39"/>
      <c r="I4" s="39"/>
      <c r="J4" s="39"/>
      <c r="K4" s="39"/>
    </row>
    <row r="5" spans="2:12" x14ac:dyDescent="0.25">
      <c r="B5" s="8" t="s">
        <v>110</v>
      </c>
      <c r="C5" s="20" t="s">
        <v>111</v>
      </c>
    </row>
    <row r="6" spans="2:12" x14ac:dyDescent="0.25">
      <c r="B6" s="21" t="s">
        <v>112</v>
      </c>
      <c r="C6" s="21" t="s">
        <v>113</v>
      </c>
      <c r="D6" s="17"/>
      <c r="E6" s="17"/>
      <c r="F6" s="7" t="s">
        <v>114</v>
      </c>
      <c r="G6" s="7" t="s">
        <v>115</v>
      </c>
      <c r="H6" s="7" t="s">
        <v>116</v>
      </c>
      <c r="I6" s="7" t="s">
        <v>117</v>
      </c>
      <c r="J6" s="7" t="s">
        <v>118</v>
      </c>
      <c r="L6" s="17"/>
    </row>
    <row r="7" spans="2:12" x14ac:dyDescent="0.25">
      <c r="B7" s="22" t="s">
        <v>114</v>
      </c>
      <c r="C7" s="23"/>
      <c r="D7" s="17"/>
      <c r="E7" s="17"/>
      <c r="F7" s="7" t="s">
        <v>119</v>
      </c>
      <c r="G7" s="7" t="s">
        <v>120</v>
      </c>
      <c r="H7" s="7" t="s">
        <v>121</v>
      </c>
      <c r="I7" s="7" t="s">
        <v>122</v>
      </c>
      <c r="J7" s="7" t="s">
        <v>123</v>
      </c>
    </row>
    <row r="8" spans="2:12" x14ac:dyDescent="0.25">
      <c r="B8" s="22" t="s">
        <v>115</v>
      </c>
      <c r="C8" s="23"/>
      <c r="D8" s="17"/>
      <c r="E8" s="17"/>
      <c r="F8" s="7" t="s">
        <v>124</v>
      </c>
      <c r="G8" s="7" t="s">
        <v>125</v>
      </c>
      <c r="H8" s="7" t="s">
        <v>126</v>
      </c>
      <c r="I8" s="7" t="s">
        <v>127</v>
      </c>
      <c r="J8" s="7" t="s">
        <v>128</v>
      </c>
    </row>
    <row r="9" spans="2:12" x14ac:dyDescent="0.25">
      <c r="B9" s="22" t="s">
        <v>116</v>
      </c>
      <c r="C9" s="23"/>
      <c r="D9" s="17"/>
      <c r="E9" s="17"/>
      <c r="F9" s="7" t="s">
        <v>129</v>
      </c>
      <c r="G9" s="7" t="s">
        <v>130</v>
      </c>
      <c r="H9" s="7" t="s">
        <v>131</v>
      </c>
      <c r="I9" s="7" t="s">
        <v>132</v>
      </c>
      <c r="J9" s="7" t="s">
        <v>133</v>
      </c>
    </row>
    <row r="10" spans="2:12" x14ac:dyDescent="0.25">
      <c r="B10" s="22" t="s">
        <v>118</v>
      </c>
      <c r="C10" s="23"/>
      <c r="D10" s="17"/>
      <c r="E10" s="17"/>
    </row>
    <row r="11" spans="2:12" x14ac:dyDescent="0.25">
      <c r="C11" s="17"/>
      <c r="D11" s="17"/>
      <c r="E11" s="17"/>
      <c r="F11" s="17"/>
      <c r="G11" s="17"/>
      <c r="H11" s="17"/>
      <c r="I11" s="17"/>
    </row>
    <row r="12" spans="2:12" x14ac:dyDescent="0.25">
      <c r="C12" s="17"/>
      <c r="D12" s="17"/>
      <c r="E12" s="17"/>
      <c r="F12" s="17"/>
      <c r="G12" s="17"/>
      <c r="H12" s="17"/>
      <c r="I12" s="17"/>
    </row>
    <row r="13" spans="2:12" x14ac:dyDescent="0.25">
      <c r="B13" s="2" t="s">
        <v>72</v>
      </c>
      <c r="C13" s="17" t="s">
        <v>134</v>
      </c>
      <c r="D13" s="17"/>
      <c r="E13" s="17"/>
      <c r="F13" s="17"/>
      <c r="G13" s="17"/>
      <c r="H13" s="17"/>
      <c r="I13" s="17"/>
    </row>
    <row r="14" spans="2:12" x14ac:dyDescent="0.25">
      <c r="B14" s="2" t="s">
        <v>74</v>
      </c>
      <c r="C14" s="17" t="s">
        <v>135</v>
      </c>
      <c r="D14" s="17"/>
      <c r="E14" s="17"/>
      <c r="F14" s="17"/>
      <c r="G14" s="17"/>
      <c r="H14" s="17"/>
      <c r="I14" s="17"/>
    </row>
    <row r="15" spans="2:12" x14ac:dyDescent="0.25">
      <c r="B15" s="2" t="s">
        <v>77</v>
      </c>
      <c r="C15" s="17" t="s">
        <v>136</v>
      </c>
      <c r="D15" s="17"/>
      <c r="E15" s="17"/>
      <c r="F15" s="17"/>
      <c r="G15" s="17"/>
      <c r="H15" s="17"/>
      <c r="I15" s="17"/>
    </row>
    <row r="16" spans="2:12" x14ac:dyDescent="0.25">
      <c r="C16" s="17" t="s">
        <v>137</v>
      </c>
      <c r="D16" s="17"/>
      <c r="E16" s="17"/>
      <c r="F16" s="17"/>
      <c r="G16" s="17"/>
      <c r="H16" s="17"/>
      <c r="I16" s="17"/>
    </row>
    <row r="17" spans="3:9" x14ac:dyDescent="0.25">
      <c r="C17" s="17"/>
      <c r="D17" s="17"/>
      <c r="E17" s="17"/>
      <c r="F17" s="17"/>
      <c r="G17" s="17"/>
      <c r="H17" s="17"/>
      <c r="I17" s="17"/>
    </row>
    <row r="18" spans="3:9" x14ac:dyDescent="0.25">
      <c r="C18" s="17"/>
      <c r="D18" s="17"/>
      <c r="E18" s="17"/>
      <c r="F18" s="17"/>
      <c r="G18" s="17"/>
      <c r="H18" s="17"/>
      <c r="I18" s="17"/>
    </row>
    <row r="19" spans="3:9" x14ac:dyDescent="0.25">
      <c r="C19" s="17"/>
      <c r="D19" s="17"/>
      <c r="E19" s="17"/>
      <c r="F19" s="17"/>
      <c r="G19" s="17"/>
      <c r="H19" s="17"/>
      <c r="I19" s="17"/>
    </row>
    <row r="20" spans="3:9" x14ac:dyDescent="0.25">
      <c r="C20" s="17"/>
      <c r="D20" s="17"/>
      <c r="E20" s="17"/>
      <c r="F20" s="17"/>
      <c r="G20" s="17"/>
      <c r="H20" s="17"/>
      <c r="I20" s="17"/>
    </row>
    <row r="21" spans="3:9" x14ac:dyDescent="0.25">
      <c r="C21" s="17"/>
      <c r="D21" s="17"/>
      <c r="E21" s="17"/>
      <c r="F21" s="17"/>
      <c r="G21" s="17"/>
      <c r="H21" s="17"/>
      <c r="I21" s="17"/>
    </row>
  </sheetData>
  <mergeCells count="1">
    <mergeCell ref="C2:K4"/>
  </mergeCells>
  <phoneticPr fontId="24" type="noConversion"/>
  <dataValidations count="2">
    <dataValidation type="list" allowBlank="1" showInputMessage="1" showErrorMessage="1" sqref="B7:B10" xr:uid="{73146B97-3759-49A5-9143-3F2CB7BD0420}">
      <formula1>$F$6:$J$6</formula1>
    </dataValidation>
    <dataValidation type="list" allowBlank="1" showInputMessage="1" showErrorMessage="1" sqref="C7:C10" xr:uid="{4E5394E8-7312-4D2E-9651-6C508E616406}">
      <formula1>INDIRECT(B7)</formula1>
    </dataValidation>
  </dataValidations>
  <pageMargins left="0.7" right="0.7" top="0.75" bottom="0.75" header="0.3" footer="0.3"/>
  <pageSetup paperSize="9"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543D4-2F53-4D9C-A4F5-79981401DA83}">
  <sheetPr>
    <tabColor rgb="FF00B050"/>
  </sheetPr>
  <dimension ref="B2:J32"/>
  <sheetViews>
    <sheetView workbookViewId="0"/>
  </sheetViews>
  <sheetFormatPr defaultColWidth="9" defaultRowHeight="17.25" customHeight="1" x14ac:dyDescent="0.25"/>
  <cols>
    <col min="1" max="1" width="9" style="1"/>
    <col min="2" max="2" width="20.21875" style="17" customWidth="1"/>
    <col min="3" max="3" width="10.33203125" style="1" customWidth="1"/>
    <col min="4" max="16384" width="9" style="1"/>
  </cols>
  <sheetData>
    <row r="2" spans="2:10" ht="17.25" customHeight="1" x14ac:dyDescent="0.25">
      <c r="B2" s="2" t="s">
        <v>138</v>
      </c>
      <c r="C2" s="39" t="s">
        <v>139</v>
      </c>
      <c r="D2" s="39"/>
      <c r="E2" s="39"/>
      <c r="F2" s="39"/>
      <c r="G2" s="39"/>
      <c r="H2" s="39"/>
      <c r="I2" s="39"/>
      <c r="J2" s="39"/>
    </row>
    <row r="3" spans="2:10" ht="17.25" customHeight="1" x14ac:dyDescent="0.25">
      <c r="C3" s="39"/>
      <c r="D3" s="39"/>
      <c r="E3" s="39"/>
      <c r="F3" s="39"/>
      <c r="G3" s="39"/>
      <c r="H3" s="39"/>
      <c r="I3" s="39"/>
      <c r="J3" s="39"/>
    </row>
    <row r="4" spans="2:10" ht="17.25" customHeight="1" x14ac:dyDescent="0.25">
      <c r="C4" s="39"/>
      <c r="D4" s="39"/>
      <c r="E4" s="39"/>
      <c r="F4" s="39"/>
      <c r="G4" s="39"/>
      <c r="H4" s="39"/>
      <c r="I4" s="39"/>
      <c r="J4" s="39"/>
    </row>
    <row r="5" spans="2:10" ht="17.25" customHeight="1" x14ac:dyDescent="0.25">
      <c r="C5" s="39"/>
      <c r="D5" s="39"/>
      <c r="E5" s="39"/>
      <c r="F5" s="39"/>
      <c r="G5" s="39"/>
      <c r="H5" s="39"/>
      <c r="I5" s="39"/>
      <c r="J5" s="39"/>
    </row>
    <row r="6" spans="2:10" ht="17.25" customHeight="1" x14ac:dyDescent="0.25">
      <c r="B6" s="1"/>
    </row>
    <row r="8" spans="2:10" ht="17.25" customHeight="1" x14ac:dyDescent="0.25">
      <c r="B8" s="8" t="s">
        <v>140</v>
      </c>
    </row>
    <row r="14" spans="2:10" ht="17.25" customHeight="1" x14ac:dyDescent="0.25">
      <c r="B14" s="8" t="s">
        <v>141</v>
      </c>
      <c r="C14" s="1" t="s">
        <v>142</v>
      </c>
    </row>
    <row r="16" spans="2:10" ht="17.25" customHeight="1" x14ac:dyDescent="0.25">
      <c r="B16" s="7" t="s">
        <v>143</v>
      </c>
      <c r="C16" s="1" t="s">
        <v>144</v>
      </c>
    </row>
    <row r="18" spans="3:10" ht="17.25" customHeight="1" x14ac:dyDescent="0.25">
      <c r="C18" s="18"/>
      <c r="D18" s="18"/>
      <c r="E18" s="18"/>
      <c r="F18" s="18"/>
      <c r="G18" s="18"/>
      <c r="H18" s="18"/>
      <c r="I18" s="18"/>
      <c r="J18" s="18"/>
    </row>
    <row r="19" spans="3:10" ht="17.25" customHeight="1" x14ac:dyDescent="0.25">
      <c r="C19" s="19"/>
      <c r="D19" s="19"/>
      <c r="E19" s="19"/>
      <c r="F19" s="19"/>
      <c r="G19" s="19"/>
      <c r="H19" s="19"/>
      <c r="I19" s="19"/>
      <c r="J19" s="19"/>
    </row>
    <row r="21" spans="3:10" ht="17.25" customHeight="1" x14ac:dyDescent="0.25">
      <c r="C21" s="1" t="s">
        <v>145</v>
      </c>
    </row>
    <row r="23" spans="3:10" ht="17.25" customHeight="1" x14ac:dyDescent="0.25">
      <c r="C23" s="18"/>
      <c r="D23" s="18"/>
      <c r="E23" s="18"/>
      <c r="F23" s="18"/>
      <c r="G23" s="18"/>
      <c r="H23" s="18"/>
      <c r="I23" s="18"/>
      <c r="J23" s="18"/>
    </row>
    <row r="24" spans="3:10" ht="17.25" customHeight="1" x14ac:dyDescent="0.25">
      <c r="C24" s="19"/>
      <c r="D24" s="19"/>
      <c r="E24" s="19"/>
      <c r="F24" s="19"/>
      <c r="G24" s="19"/>
      <c r="H24" s="19"/>
      <c r="I24" s="19"/>
      <c r="J24" s="19"/>
    </row>
    <row r="25" spans="3:10" ht="17.25" customHeight="1" x14ac:dyDescent="0.25">
      <c r="C25" s="18"/>
      <c r="D25" s="18"/>
      <c r="E25" s="18"/>
      <c r="F25" s="18"/>
      <c r="G25" s="18"/>
      <c r="H25" s="18"/>
      <c r="I25" s="18"/>
      <c r="J25" s="18"/>
    </row>
    <row r="26" spans="3:10" ht="17.25" customHeight="1" x14ac:dyDescent="0.25">
      <c r="C26" s="19"/>
      <c r="D26" s="19"/>
      <c r="E26" s="19"/>
      <c r="F26" s="19"/>
      <c r="G26" s="19"/>
      <c r="H26" s="19"/>
      <c r="I26" s="19"/>
      <c r="J26" s="19"/>
    </row>
    <row r="27" spans="3:10" ht="17.25" customHeight="1" x14ac:dyDescent="0.25">
      <c r="C27" s="18"/>
      <c r="D27" s="18"/>
      <c r="E27" s="18"/>
      <c r="F27" s="18"/>
      <c r="G27" s="18"/>
      <c r="H27" s="18"/>
      <c r="I27" s="18"/>
      <c r="J27" s="18"/>
    </row>
    <row r="28" spans="3:10" ht="17.25" customHeight="1" x14ac:dyDescent="0.25">
      <c r="C28" s="19"/>
      <c r="D28" s="19"/>
      <c r="E28" s="19"/>
      <c r="F28" s="19"/>
      <c r="G28" s="19"/>
      <c r="H28" s="19"/>
      <c r="I28" s="19"/>
      <c r="J28" s="19"/>
    </row>
    <row r="29" spans="3:10" ht="17.25" customHeight="1" x14ac:dyDescent="0.25">
      <c r="C29" s="18"/>
      <c r="D29" s="18"/>
      <c r="E29" s="18"/>
      <c r="F29" s="18"/>
      <c r="G29" s="18"/>
      <c r="H29" s="18"/>
      <c r="I29" s="18"/>
      <c r="J29" s="18"/>
    </row>
    <row r="30" spans="3:10" ht="17.25" customHeight="1" x14ac:dyDescent="0.25">
      <c r="C30" s="19"/>
      <c r="D30" s="19"/>
      <c r="E30" s="19"/>
      <c r="F30" s="19"/>
      <c r="G30" s="19"/>
      <c r="H30" s="19"/>
      <c r="I30" s="19"/>
      <c r="J30" s="19"/>
    </row>
    <row r="31" spans="3:10" ht="17.25" customHeight="1" x14ac:dyDescent="0.25">
      <c r="C31" s="18"/>
      <c r="D31" s="18"/>
      <c r="E31" s="18"/>
      <c r="F31" s="18"/>
      <c r="G31" s="18"/>
      <c r="H31" s="18"/>
      <c r="I31" s="18"/>
      <c r="J31" s="18"/>
    </row>
    <row r="32" spans="3:10" ht="17.25" customHeight="1" x14ac:dyDescent="0.25">
      <c r="C32" s="19"/>
      <c r="D32" s="19"/>
      <c r="E32" s="19"/>
      <c r="F32" s="19"/>
      <c r="G32" s="19"/>
      <c r="H32" s="19"/>
      <c r="I32" s="19"/>
      <c r="J32" s="19"/>
    </row>
  </sheetData>
  <mergeCells count="1">
    <mergeCell ref="C2:J5"/>
  </mergeCells>
  <phoneticPr fontId="24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0A5AE-8ED9-4AE3-94E5-2A5E38F1B872}">
  <sheetPr>
    <tabColor rgb="FF00B050"/>
  </sheetPr>
  <dimension ref="B2:K37"/>
  <sheetViews>
    <sheetView workbookViewId="0">
      <selection activeCell="N28" sqref="N28"/>
    </sheetView>
  </sheetViews>
  <sheetFormatPr defaultColWidth="9" defaultRowHeight="17.399999999999999" x14ac:dyDescent="0.25"/>
  <cols>
    <col min="1" max="1" width="9" style="1"/>
    <col min="2" max="2" width="17.44140625" style="7" customWidth="1"/>
    <col min="3" max="6" width="9" style="1"/>
    <col min="7" max="7" width="20.33203125" style="1" customWidth="1"/>
    <col min="8" max="10" width="9" style="1"/>
    <col min="11" max="11" width="10.44140625" style="1" bestFit="1" customWidth="1"/>
    <col min="12" max="16384" width="9" style="1"/>
  </cols>
  <sheetData>
    <row r="2" spans="2:10" x14ac:dyDescent="0.25">
      <c r="B2" s="8" t="s">
        <v>146</v>
      </c>
      <c r="C2" s="40" t="s">
        <v>147</v>
      </c>
      <c r="D2" s="40"/>
      <c r="E2" s="40"/>
      <c r="F2" s="40"/>
      <c r="G2" s="40"/>
      <c r="H2" s="40"/>
      <c r="I2" s="40"/>
      <c r="J2" s="40"/>
    </row>
    <row r="3" spans="2:10" x14ac:dyDescent="0.25">
      <c r="C3" s="40"/>
      <c r="D3" s="40"/>
      <c r="E3" s="40"/>
      <c r="F3" s="40"/>
      <c r="G3" s="40"/>
      <c r="H3" s="40"/>
      <c r="I3" s="40"/>
      <c r="J3" s="40"/>
    </row>
    <row r="4" spans="2:10" x14ac:dyDescent="0.25">
      <c r="C4" s="40"/>
      <c r="D4" s="40"/>
      <c r="E4" s="40"/>
      <c r="F4" s="40"/>
      <c r="G4" s="40"/>
      <c r="H4" s="40"/>
      <c r="I4" s="40"/>
      <c r="J4" s="40"/>
    </row>
    <row r="21" spans="3:11" x14ac:dyDescent="0.25">
      <c r="C21" s="1" t="s">
        <v>148</v>
      </c>
    </row>
    <row r="23" spans="3:11" x14ac:dyDescent="0.25">
      <c r="C23" s="1" t="s">
        <v>149</v>
      </c>
    </row>
    <row r="25" spans="3:11" x14ac:dyDescent="0.25">
      <c r="C25" s="1" t="s">
        <v>150</v>
      </c>
      <c r="D25" s="1" t="s">
        <v>151</v>
      </c>
    </row>
    <row r="26" spans="3:11" x14ac:dyDescent="0.25">
      <c r="K26" s="16"/>
    </row>
    <row r="27" spans="3:11" x14ac:dyDescent="0.25">
      <c r="C27" s="1" t="s">
        <v>152</v>
      </c>
      <c r="D27" s="1" t="s">
        <v>153</v>
      </c>
    </row>
    <row r="29" spans="3:11" x14ac:dyDescent="0.25">
      <c r="C29" s="1" t="s">
        <v>154</v>
      </c>
      <c r="D29" s="1" t="s">
        <v>155</v>
      </c>
    </row>
    <row r="30" spans="3:11" ht="6" customHeight="1" x14ac:dyDescent="0.25"/>
    <row r="31" spans="3:11" ht="20.25" customHeight="1" x14ac:dyDescent="0.25">
      <c r="D31" s="1" t="s">
        <v>156</v>
      </c>
      <c r="G31" s="9">
        <v>0.24479999999999999</v>
      </c>
      <c r="H31" s="39" t="s">
        <v>157</v>
      </c>
      <c r="I31" s="39"/>
      <c r="J31" s="39"/>
      <c r="K31" s="39"/>
    </row>
    <row r="32" spans="3:11" ht="20.25" customHeight="1" x14ac:dyDescent="0.25">
      <c r="D32" s="1" t="s">
        <v>158</v>
      </c>
      <c r="G32" s="10">
        <v>0.24479999999999999</v>
      </c>
      <c r="H32" s="39"/>
      <c r="I32" s="39"/>
      <c r="J32" s="39"/>
      <c r="K32" s="39"/>
    </row>
    <row r="33" spans="4:11" ht="20.25" customHeight="1" x14ac:dyDescent="0.25">
      <c r="D33" s="1" t="s">
        <v>159</v>
      </c>
      <c r="G33" s="11">
        <v>5660812.6399999997</v>
      </c>
      <c r="H33" s="39"/>
      <c r="I33" s="39"/>
      <c r="J33" s="39"/>
      <c r="K33" s="39"/>
    </row>
    <row r="34" spans="4:11" ht="20.25" customHeight="1" x14ac:dyDescent="0.25">
      <c r="D34" s="1" t="s">
        <v>160</v>
      </c>
      <c r="G34" s="12">
        <v>5660812.6399999997</v>
      </c>
      <c r="H34" s="39"/>
      <c r="I34" s="39"/>
      <c r="J34" s="39"/>
      <c r="K34" s="39"/>
    </row>
    <row r="35" spans="4:11" ht="20.25" customHeight="1" x14ac:dyDescent="0.25">
      <c r="D35" s="1" t="s">
        <v>161</v>
      </c>
      <c r="G35" s="13">
        <v>5660812.6399999997</v>
      </c>
      <c r="H35" s="39"/>
      <c r="I35" s="39"/>
      <c r="J35" s="39"/>
      <c r="K35" s="39"/>
    </row>
    <row r="36" spans="4:11" ht="20.25" customHeight="1" x14ac:dyDescent="0.25">
      <c r="D36" s="1" t="s">
        <v>162</v>
      </c>
      <c r="G36" s="14">
        <v>5660812.6399999997</v>
      </c>
      <c r="H36" s="39"/>
      <c r="I36" s="39"/>
      <c r="J36" s="39"/>
      <c r="K36" s="39"/>
    </row>
    <row r="37" spans="4:11" ht="20.25" customHeight="1" x14ac:dyDescent="0.25">
      <c r="D37" s="1" t="s">
        <v>163</v>
      </c>
      <c r="G37" s="15">
        <v>5660812.6399999997</v>
      </c>
      <c r="H37" s="39"/>
      <c r="I37" s="39"/>
      <c r="J37" s="39"/>
      <c r="K37" s="39"/>
    </row>
  </sheetData>
  <mergeCells count="2">
    <mergeCell ref="C2:J4"/>
    <mergeCell ref="H31:K37"/>
  </mergeCells>
  <phoneticPr fontId="24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74A8B-3A71-4BFC-AB3C-3015A81759B1}">
  <sheetPr>
    <tabColor theme="5"/>
  </sheetPr>
  <dimension ref="B2:O37"/>
  <sheetViews>
    <sheetView workbookViewId="0">
      <selection activeCell="R22" sqref="R22"/>
    </sheetView>
  </sheetViews>
  <sheetFormatPr defaultColWidth="9" defaultRowHeight="17.399999999999999" x14ac:dyDescent="0.25"/>
  <cols>
    <col min="1" max="1" width="9" style="1"/>
    <col min="2" max="2" width="14.109375" style="2" customWidth="1"/>
    <col min="3" max="16384" width="9" style="1"/>
  </cols>
  <sheetData>
    <row r="2" spans="2:10" x14ac:dyDescent="0.25">
      <c r="B2" s="2" t="s">
        <v>164</v>
      </c>
      <c r="C2" s="39" t="s">
        <v>165</v>
      </c>
      <c r="D2" s="39"/>
      <c r="E2" s="39"/>
      <c r="F2" s="39"/>
      <c r="G2" s="39"/>
      <c r="H2" s="39"/>
      <c r="I2" s="39"/>
      <c r="J2" s="39"/>
    </row>
    <row r="3" spans="2:10" x14ac:dyDescent="0.25">
      <c r="C3" s="39"/>
      <c r="D3" s="39"/>
      <c r="E3" s="39"/>
      <c r="F3" s="39"/>
      <c r="G3" s="39"/>
      <c r="H3" s="39"/>
      <c r="I3" s="39"/>
      <c r="J3" s="39"/>
    </row>
    <row r="6" spans="2:10" x14ac:dyDescent="0.25">
      <c r="B6" s="2" t="s">
        <v>166</v>
      </c>
      <c r="D6" s="3" t="s">
        <v>97</v>
      </c>
      <c r="E6" s="3" t="s">
        <v>167</v>
      </c>
      <c r="F6" s="3" t="s">
        <v>168</v>
      </c>
      <c r="H6" s="1" t="s">
        <v>169</v>
      </c>
    </row>
    <row r="7" spans="2:10" x14ac:dyDescent="0.25">
      <c r="D7" s="6" t="s">
        <v>170</v>
      </c>
      <c r="E7" s="1" t="s">
        <v>171</v>
      </c>
      <c r="F7" s="1">
        <v>400</v>
      </c>
    </row>
    <row r="8" spans="2:10" x14ac:dyDescent="0.25">
      <c r="D8" s="6" t="s">
        <v>172</v>
      </c>
      <c r="E8" s="1" t="s">
        <v>173</v>
      </c>
      <c r="F8" s="1">
        <v>800</v>
      </c>
    </row>
    <row r="9" spans="2:10" x14ac:dyDescent="0.25">
      <c r="D9" s="6" t="s">
        <v>174</v>
      </c>
      <c r="E9" s="1" t="s">
        <v>173</v>
      </c>
      <c r="F9" s="1">
        <v>1100</v>
      </c>
    </row>
    <row r="10" spans="2:10" x14ac:dyDescent="0.25">
      <c r="D10" s="6" t="s">
        <v>175</v>
      </c>
      <c r="E10" s="1" t="s">
        <v>173</v>
      </c>
      <c r="F10" s="1">
        <v>1300</v>
      </c>
    </row>
    <row r="11" spans="2:10" x14ac:dyDescent="0.25">
      <c r="D11" s="1" t="s">
        <v>170</v>
      </c>
      <c r="E11" s="1" t="s">
        <v>173</v>
      </c>
      <c r="F11" s="1">
        <v>100</v>
      </c>
    </row>
    <row r="12" spans="2:10" x14ac:dyDescent="0.25">
      <c r="D12" s="1" t="s">
        <v>174</v>
      </c>
      <c r="E12" s="1" t="s">
        <v>171</v>
      </c>
      <c r="F12" s="1">
        <v>200</v>
      </c>
    </row>
    <row r="13" spans="2:10" x14ac:dyDescent="0.25">
      <c r="D13" s="1" t="s">
        <v>172</v>
      </c>
      <c r="E13" s="1" t="s">
        <v>173</v>
      </c>
      <c r="F13" s="1">
        <v>300</v>
      </c>
    </row>
    <row r="14" spans="2:10" x14ac:dyDescent="0.25">
      <c r="D14" s="1" t="s">
        <v>175</v>
      </c>
      <c r="E14" s="1" t="s">
        <v>176</v>
      </c>
      <c r="F14" s="1">
        <v>500</v>
      </c>
    </row>
    <row r="15" spans="2:10" x14ac:dyDescent="0.25">
      <c r="D15" s="1" t="s">
        <v>170</v>
      </c>
      <c r="E15" s="1" t="s">
        <v>173</v>
      </c>
      <c r="F15" s="1">
        <v>600</v>
      </c>
    </row>
    <row r="16" spans="2:10" x14ac:dyDescent="0.25">
      <c r="D16" s="1" t="s">
        <v>174</v>
      </c>
      <c r="E16" s="1" t="s">
        <v>171</v>
      </c>
      <c r="F16" s="1">
        <v>700</v>
      </c>
    </row>
    <row r="17" spans="2:8" x14ac:dyDescent="0.25">
      <c r="D17" s="1" t="s">
        <v>170</v>
      </c>
      <c r="E17" s="1" t="s">
        <v>176</v>
      </c>
      <c r="F17" s="1">
        <v>900</v>
      </c>
    </row>
    <row r="18" spans="2:8" x14ac:dyDescent="0.25">
      <c r="D18" s="1" t="s">
        <v>170</v>
      </c>
      <c r="E18" s="1" t="s">
        <v>171</v>
      </c>
      <c r="F18" s="1">
        <v>1000</v>
      </c>
    </row>
    <row r="19" spans="2:8" x14ac:dyDescent="0.25">
      <c r="D19" s="1" t="s">
        <v>170</v>
      </c>
      <c r="E19" s="1" t="s">
        <v>171</v>
      </c>
      <c r="F19" s="1">
        <v>1200</v>
      </c>
    </row>
    <row r="20" spans="2:8" x14ac:dyDescent="0.25">
      <c r="D20" s="1" t="s">
        <v>170</v>
      </c>
      <c r="E20" s="1" t="s">
        <v>176</v>
      </c>
      <c r="F20" s="1">
        <v>1400</v>
      </c>
    </row>
    <row r="22" spans="2:8" x14ac:dyDescent="0.25">
      <c r="B22" s="2" t="s">
        <v>177</v>
      </c>
      <c r="D22" s="3" t="s">
        <v>97</v>
      </c>
      <c r="E22" s="3" t="s">
        <v>167</v>
      </c>
      <c r="F22" s="3" t="s">
        <v>168</v>
      </c>
      <c r="H22" s="1" t="s">
        <v>178</v>
      </c>
    </row>
    <row r="23" spans="2:8" x14ac:dyDescent="0.25">
      <c r="D23" s="6" t="s">
        <v>170</v>
      </c>
      <c r="E23" s="1" t="s">
        <v>171</v>
      </c>
      <c r="F23" s="1">
        <v>400</v>
      </c>
    </row>
    <row r="24" spans="2:8" x14ac:dyDescent="0.25">
      <c r="D24" s="1" t="s">
        <v>170</v>
      </c>
      <c r="E24" s="1" t="s">
        <v>171</v>
      </c>
      <c r="F24" s="1">
        <v>1000</v>
      </c>
    </row>
    <row r="25" spans="2:8" x14ac:dyDescent="0.25">
      <c r="D25" s="1" t="s">
        <v>170</v>
      </c>
      <c r="E25" s="1" t="s">
        <v>171</v>
      </c>
      <c r="F25" s="1">
        <v>1200</v>
      </c>
    </row>
    <row r="26" spans="2:8" x14ac:dyDescent="0.25">
      <c r="D26" s="1" t="s">
        <v>170</v>
      </c>
      <c r="E26" s="1" t="s">
        <v>176</v>
      </c>
      <c r="F26" s="1">
        <v>900</v>
      </c>
    </row>
    <row r="27" spans="2:8" x14ac:dyDescent="0.25">
      <c r="D27" s="1" t="s">
        <v>170</v>
      </c>
      <c r="E27" s="1" t="s">
        <v>176</v>
      </c>
      <c r="F27" s="1">
        <v>1400</v>
      </c>
    </row>
    <row r="28" spans="2:8" x14ac:dyDescent="0.25">
      <c r="D28" s="1" t="s">
        <v>170</v>
      </c>
      <c r="E28" s="1" t="s">
        <v>173</v>
      </c>
      <c r="F28" s="1">
        <v>100</v>
      </c>
    </row>
    <row r="29" spans="2:8" x14ac:dyDescent="0.25">
      <c r="D29" s="1" t="s">
        <v>170</v>
      </c>
      <c r="E29" s="1" t="s">
        <v>173</v>
      </c>
      <c r="F29" s="1">
        <v>600</v>
      </c>
    </row>
    <row r="30" spans="2:8" x14ac:dyDescent="0.25">
      <c r="D30" s="1" t="s">
        <v>174</v>
      </c>
      <c r="E30" s="1" t="s">
        <v>171</v>
      </c>
      <c r="F30" s="1">
        <v>200</v>
      </c>
    </row>
    <row r="31" spans="2:8" x14ac:dyDescent="0.25">
      <c r="D31" s="1" t="s">
        <v>174</v>
      </c>
      <c r="E31" s="1" t="s">
        <v>171</v>
      </c>
      <c r="F31" s="1">
        <v>700</v>
      </c>
    </row>
    <row r="32" spans="2:8" x14ac:dyDescent="0.25">
      <c r="D32" s="6" t="s">
        <v>174</v>
      </c>
      <c r="E32" s="1" t="s">
        <v>173</v>
      </c>
      <c r="F32" s="1">
        <v>1100</v>
      </c>
    </row>
    <row r="33" spans="4:15" x14ac:dyDescent="0.25">
      <c r="D33" s="1" t="s">
        <v>172</v>
      </c>
      <c r="E33" s="1" t="s">
        <v>173</v>
      </c>
      <c r="F33" s="1">
        <v>300</v>
      </c>
    </row>
    <row r="34" spans="4:15" x14ac:dyDescent="0.25">
      <c r="D34" s="6" t="s">
        <v>172</v>
      </c>
      <c r="E34" s="1" t="s">
        <v>173</v>
      </c>
      <c r="F34" s="1">
        <v>800</v>
      </c>
    </row>
    <row r="35" spans="4:15" x14ac:dyDescent="0.25">
      <c r="D35" s="1" t="s">
        <v>175</v>
      </c>
      <c r="E35" s="1" t="s">
        <v>176</v>
      </c>
      <c r="F35" s="1">
        <v>500</v>
      </c>
    </row>
    <row r="36" spans="4:15" x14ac:dyDescent="0.25">
      <c r="D36" s="6" t="s">
        <v>175</v>
      </c>
      <c r="E36" s="1" t="s">
        <v>173</v>
      </c>
      <c r="F36" s="1">
        <v>1300</v>
      </c>
    </row>
    <row r="37" spans="4:15" x14ac:dyDescent="0.25">
      <c r="I37" s="40" t="s">
        <v>179</v>
      </c>
      <c r="J37" s="40"/>
      <c r="K37" s="40"/>
      <c r="M37" s="40" t="s">
        <v>180</v>
      </c>
      <c r="N37" s="40"/>
      <c r="O37" s="40"/>
    </row>
  </sheetData>
  <autoFilter ref="D22:F36" xr:uid="{B7DA7268-A084-4396-9F97-EC9A27F144EE}"/>
  <mergeCells count="3">
    <mergeCell ref="I37:K37"/>
    <mergeCell ref="M37:O37"/>
    <mergeCell ref="C2:J3"/>
  </mergeCells>
  <phoneticPr fontId="24" type="noConversion"/>
  <pageMargins left="0.7" right="0.7" top="0.75" bottom="0.75" header="0.3" footer="0.3"/>
  <pageSetup paperSize="9" orientation="portrait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3B97-A23D-450A-810E-624B82DC2CCB}">
  <sheetPr>
    <tabColor theme="5"/>
  </sheetPr>
  <dimension ref="B2:K43"/>
  <sheetViews>
    <sheetView workbookViewId="0">
      <selection activeCell="O33" sqref="O33"/>
    </sheetView>
  </sheetViews>
  <sheetFormatPr defaultColWidth="9" defaultRowHeight="17.399999999999999" x14ac:dyDescent="0.25"/>
  <cols>
    <col min="1" max="1" width="9" style="1"/>
    <col min="2" max="2" width="14.109375" style="2" customWidth="1"/>
    <col min="3" max="16384" width="9" style="1"/>
  </cols>
  <sheetData>
    <row r="2" spans="2:11" x14ac:dyDescent="0.25">
      <c r="B2" s="2" t="s">
        <v>181</v>
      </c>
      <c r="C2" s="39" t="s">
        <v>182</v>
      </c>
      <c r="D2" s="39"/>
      <c r="E2" s="39"/>
      <c r="F2" s="39"/>
      <c r="G2" s="39"/>
      <c r="H2" s="39"/>
      <c r="I2" s="39"/>
      <c r="J2" s="39"/>
      <c r="K2" s="39"/>
    </row>
    <row r="3" spans="2:11" x14ac:dyDescent="0.25">
      <c r="C3" s="39"/>
      <c r="D3" s="39"/>
      <c r="E3" s="39"/>
      <c r="F3" s="39"/>
      <c r="G3" s="39"/>
      <c r="H3" s="39"/>
      <c r="I3" s="39"/>
      <c r="J3" s="39"/>
      <c r="K3" s="39"/>
    </row>
    <row r="4" spans="2:11" x14ac:dyDescent="0.25">
      <c r="C4" s="39"/>
      <c r="D4" s="39"/>
      <c r="E4" s="39"/>
      <c r="F4" s="39"/>
      <c r="G4" s="39"/>
      <c r="H4" s="39"/>
      <c r="I4" s="39"/>
      <c r="J4" s="39"/>
      <c r="K4" s="39"/>
    </row>
    <row r="6" spans="2:11" x14ac:dyDescent="0.25">
      <c r="B6" s="2" t="s">
        <v>183</v>
      </c>
      <c r="D6" s="3" t="s">
        <v>97</v>
      </c>
      <c r="E6" s="3" t="s">
        <v>167</v>
      </c>
      <c r="F6" s="3" t="s">
        <v>168</v>
      </c>
      <c r="H6" s="1" t="s">
        <v>184</v>
      </c>
    </row>
    <row r="7" spans="2:11" x14ac:dyDescent="0.25">
      <c r="D7" s="1" t="s">
        <v>170</v>
      </c>
      <c r="E7" s="1" t="s">
        <v>173</v>
      </c>
      <c r="F7" s="1">
        <v>100</v>
      </c>
    </row>
    <row r="8" spans="2:11" x14ac:dyDescent="0.25">
      <c r="D8" s="1" t="s">
        <v>174</v>
      </c>
      <c r="E8" s="1" t="s">
        <v>171</v>
      </c>
      <c r="F8" s="1">
        <v>200</v>
      </c>
    </row>
    <row r="9" spans="2:11" x14ac:dyDescent="0.25">
      <c r="D9" s="1" t="s">
        <v>172</v>
      </c>
      <c r="E9" s="1" t="s">
        <v>173</v>
      </c>
      <c r="F9" s="1">
        <v>300</v>
      </c>
    </row>
    <row r="10" spans="2:11" x14ac:dyDescent="0.25">
      <c r="D10" s="6" t="s">
        <v>170</v>
      </c>
      <c r="E10" s="1" t="s">
        <v>171</v>
      </c>
      <c r="F10" s="1">
        <v>400</v>
      </c>
    </row>
    <row r="11" spans="2:11" x14ac:dyDescent="0.25">
      <c r="D11" s="1" t="s">
        <v>175</v>
      </c>
      <c r="E11" s="1" t="s">
        <v>176</v>
      </c>
      <c r="F11" s="1">
        <v>500</v>
      </c>
    </row>
    <row r="12" spans="2:11" x14ac:dyDescent="0.25">
      <c r="D12" s="1" t="s">
        <v>170</v>
      </c>
      <c r="E12" s="1" t="s">
        <v>173</v>
      </c>
      <c r="F12" s="1">
        <v>600</v>
      </c>
    </row>
    <row r="13" spans="2:11" x14ac:dyDescent="0.25">
      <c r="D13" s="1" t="s">
        <v>174</v>
      </c>
      <c r="E13" s="1" t="s">
        <v>171</v>
      </c>
      <c r="F13" s="1">
        <v>700</v>
      </c>
    </row>
    <row r="14" spans="2:11" x14ac:dyDescent="0.25">
      <c r="D14" s="6" t="s">
        <v>172</v>
      </c>
      <c r="E14" s="1" t="s">
        <v>173</v>
      </c>
      <c r="F14" s="1">
        <v>800</v>
      </c>
    </row>
    <row r="15" spans="2:11" x14ac:dyDescent="0.25">
      <c r="D15" s="1" t="s">
        <v>170</v>
      </c>
      <c r="E15" s="1" t="s">
        <v>176</v>
      </c>
      <c r="F15" s="1">
        <v>900</v>
      </c>
    </row>
    <row r="16" spans="2:11" x14ac:dyDescent="0.25">
      <c r="D16" s="1" t="s">
        <v>170</v>
      </c>
      <c r="E16" s="1" t="s">
        <v>171</v>
      </c>
      <c r="F16" s="1">
        <v>1000</v>
      </c>
    </row>
    <row r="17" spans="2:8" x14ac:dyDescent="0.25">
      <c r="D17" s="6" t="s">
        <v>174</v>
      </c>
      <c r="E17" s="1" t="s">
        <v>173</v>
      </c>
      <c r="F17" s="1">
        <v>1100</v>
      </c>
    </row>
    <row r="18" spans="2:8" x14ac:dyDescent="0.25">
      <c r="D18" s="1" t="s">
        <v>170</v>
      </c>
      <c r="E18" s="1" t="s">
        <v>171</v>
      </c>
      <c r="F18" s="1">
        <v>1200</v>
      </c>
    </row>
    <row r="19" spans="2:8" x14ac:dyDescent="0.25">
      <c r="D19" s="6" t="s">
        <v>175</v>
      </c>
      <c r="E19" s="1" t="s">
        <v>173</v>
      </c>
      <c r="F19" s="1">
        <v>1300</v>
      </c>
    </row>
    <row r="20" spans="2:8" x14ac:dyDescent="0.25">
      <c r="D20" s="1" t="s">
        <v>170</v>
      </c>
      <c r="E20" s="1" t="s">
        <v>176</v>
      </c>
      <c r="F20" s="1">
        <v>1400</v>
      </c>
    </row>
    <row r="22" spans="2:8" x14ac:dyDescent="0.25">
      <c r="B22" s="2" t="s">
        <v>185</v>
      </c>
      <c r="D22" s="3" t="s">
        <v>97</v>
      </c>
      <c r="E22" s="3" t="s">
        <v>167</v>
      </c>
      <c r="F22" s="3" t="s">
        <v>168</v>
      </c>
      <c r="H22" s="1" t="s">
        <v>186</v>
      </c>
    </row>
    <row r="23" spans="2:8" x14ac:dyDescent="0.25">
      <c r="D23" s="1" t="s">
        <v>170</v>
      </c>
      <c r="E23" s="1" t="s">
        <v>173</v>
      </c>
      <c r="F23" s="1">
        <v>100</v>
      </c>
    </row>
    <row r="24" spans="2:8" x14ac:dyDescent="0.25">
      <c r="D24" s="1" t="s">
        <v>174</v>
      </c>
      <c r="E24" s="1" t="s">
        <v>171</v>
      </c>
      <c r="F24" s="1">
        <v>200</v>
      </c>
    </row>
    <row r="25" spans="2:8" x14ac:dyDescent="0.25">
      <c r="D25" s="1" t="s">
        <v>172</v>
      </c>
      <c r="E25" s="1" t="s">
        <v>173</v>
      </c>
      <c r="F25" s="1">
        <v>300</v>
      </c>
    </row>
    <row r="26" spans="2:8" x14ac:dyDescent="0.25">
      <c r="D26" s="1" t="s">
        <v>170</v>
      </c>
      <c r="E26" s="1" t="s">
        <v>171</v>
      </c>
      <c r="F26" s="1">
        <v>400</v>
      </c>
    </row>
    <row r="27" spans="2:8" x14ac:dyDescent="0.25">
      <c r="D27" s="1" t="s">
        <v>175</v>
      </c>
      <c r="E27" s="1" t="s">
        <v>176</v>
      </c>
      <c r="F27" s="1">
        <v>500</v>
      </c>
    </row>
    <row r="28" spans="2:8" x14ac:dyDescent="0.25">
      <c r="D28" s="1" t="s">
        <v>170</v>
      </c>
      <c r="E28" s="1" t="s">
        <v>173</v>
      </c>
      <c r="F28" s="1">
        <v>600</v>
      </c>
    </row>
    <row r="29" spans="2:8" x14ac:dyDescent="0.25">
      <c r="D29" s="1" t="s">
        <v>174</v>
      </c>
      <c r="E29" s="1" t="s">
        <v>171</v>
      </c>
      <c r="F29" s="1">
        <v>700</v>
      </c>
    </row>
    <row r="30" spans="2:8" x14ac:dyDescent="0.25">
      <c r="D30" s="1" t="s">
        <v>172</v>
      </c>
      <c r="E30" s="1" t="s">
        <v>173</v>
      </c>
      <c r="F30" s="1">
        <v>800</v>
      </c>
    </row>
    <row r="31" spans="2:8" x14ac:dyDescent="0.25">
      <c r="D31" s="1" t="s">
        <v>170</v>
      </c>
      <c r="E31" s="1" t="s">
        <v>176</v>
      </c>
      <c r="F31" s="1">
        <v>900</v>
      </c>
    </row>
    <row r="32" spans="2:8" x14ac:dyDescent="0.25">
      <c r="D32" s="1" t="s">
        <v>170</v>
      </c>
      <c r="E32" s="1" t="s">
        <v>171</v>
      </c>
      <c r="F32" s="1">
        <v>1000</v>
      </c>
    </row>
    <row r="33" spans="2:6" x14ac:dyDescent="0.25">
      <c r="D33" s="1" t="s">
        <v>174</v>
      </c>
      <c r="E33" s="1" t="s">
        <v>173</v>
      </c>
      <c r="F33" s="1">
        <v>1100</v>
      </c>
    </row>
    <row r="34" spans="2:6" x14ac:dyDescent="0.25">
      <c r="D34" s="1" t="s">
        <v>170</v>
      </c>
      <c r="E34" s="1" t="s">
        <v>171</v>
      </c>
      <c r="F34" s="1">
        <v>1200</v>
      </c>
    </row>
    <row r="35" spans="2:6" x14ac:dyDescent="0.25">
      <c r="D35" s="1" t="s">
        <v>175</v>
      </c>
      <c r="E35" s="1" t="s">
        <v>173</v>
      </c>
      <c r="F35" s="1">
        <v>1300</v>
      </c>
    </row>
    <row r="36" spans="2:6" x14ac:dyDescent="0.25">
      <c r="D36" s="1" t="s">
        <v>170</v>
      </c>
      <c r="E36" s="1" t="s">
        <v>176</v>
      </c>
      <c r="F36" s="1">
        <v>1400</v>
      </c>
    </row>
    <row r="38" spans="2:6" x14ac:dyDescent="0.25">
      <c r="B38" s="2" t="s">
        <v>187</v>
      </c>
      <c r="C38" s="1" t="s">
        <v>188</v>
      </c>
      <c r="D38" s="1" t="s">
        <v>189</v>
      </c>
    </row>
    <row r="39" spans="2:6" x14ac:dyDescent="0.25">
      <c r="D39" s="1" t="s">
        <v>190</v>
      </c>
    </row>
    <row r="41" spans="2:6" x14ac:dyDescent="0.25">
      <c r="D41" s="1" t="s">
        <v>191</v>
      </c>
    </row>
    <row r="42" spans="2:6" x14ac:dyDescent="0.25">
      <c r="D42" s="1" t="s">
        <v>192</v>
      </c>
    </row>
    <row r="43" spans="2:6" x14ac:dyDescent="0.25">
      <c r="D43" s="1" t="s">
        <v>193</v>
      </c>
    </row>
  </sheetData>
  <autoFilter ref="D22:F36" xr:uid="{90795700-FC0A-45A9-8D54-3CD5991F2BF9}"/>
  <mergeCells count="1">
    <mergeCell ref="C2:K4"/>
  </mergeCells>
  <phoneticPr fontId="24" type="noConversion"/>
  <pageMargins left="0.7" right="0.7" top="0.75" bottom="0.75" header="0.3" footer="0.3"/>
  <pageSetup paperSize="9" orientation="portrait" horizontalDpi="0" verticalDpi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A3290-322C-4A87-9AD1-C4CF6726832E}">
  <sheetPr>
    <tabColor theme="5"/>
  </sheetPr>
  <dimension ref="B2:K14"/>
  <sheetViews>
    <sheetView workbookViewId="0">
      <selection activeCell="O27" sqref="O27"/>
    </sheetView>
  </sheetViews>
  <sheetFormatPr defaultColWidth="9" defaultRowHeight="17.399999999999999" x14ac:dyDescent="0.25"/>
  <cols>
    <col min="1" max="1" width="9" style="1"/>
    <col min="2" max="2" width="14.109375" style="2" customWidth="1"/>
    <col min="3" max="16384" width="9" style="1"/>
  </cols>
  <sheetData>
    <row r="2" spans="2:11" x14ac:dyDescent="0.25">
      <c r="B2" s="2" t="s">
        <v>194</v>
      </c>
      <c r="C2" s="39" t="s">
        <v>195</v>
      </c>
      <c r="D2" s="39"/>
      <c r="E2" s="39"/>
      <c r="F2" s="39"/>
      <c r="G2" s="39"/>
      <c r="H2" s="39"/>
      <c r="I2" s="39"/>
      <c r="J2" s="39"/>
      <c r="K2" s="39"/>
    </row>
    <row r="3" spans="2:11" x14ac:dyDescent="0.25">
      <c r="C3" s="39"/>
      <c r="D3" s="39"/>
      <c r="E3" s="39"/>
      <c r="F3" s="39"/>
      <c r="G3" s="39"/>
      <c r="H3" s="39"/>
      <c r="I3" s="39"/>
      <c r="J3" s="39"/>
      <c r="K3" s="39"/>
    </row>
    <row r="4" spans="2:11" x14ac:dyDescent="0.25">
      <c r="C4" s="39"/>
      <c r="D4" s="39"/>
      <c r="E4" s="39"/>
      <c r="F4" s="39"/>
      <c r="G4" s="39"/>
      <c r="H4" s="39"/>
      <c r="I4" s="39"/>
      <c r="J4" s="39"/>
      <c r="K4" s="39"/>
    </row>
    <row r="6" spans="2:11" x14ac:dyDescent="0.25">
      <c r="B6" s="2" t="s">
        <v>196</v>
      </c>
      <c r="C6" s="1" t="s">
        <v>197</v>
      </c>
    </row>
    <row r="7" spans="2:11" x14ac:dyDescent="0.25">
      <c r="C7" s="1" t="s">
        <v>198</v>
      </c>
    </row>
    <row r="8" spans="2:11" x14ac:dyDescent="0.25">
      <c r="C8" s="1" t="s">
        <v>199</v>
      </c>
    </row>
    <row r="10" spans="2:11" x14ac:dyDescent="0.25">
      <c r="C10" s="1" t="s">
        <v>200</v>
      </c>
    </row>
    <row r="11" spans="2:11" x14ac:dyDescent="0.25">
      <c r="C11" s="1" t="s">
        <v>201</v>
      </c>
    </row>
    <row r="13" spans="2:11" x14ac:dyDescent="0.25">
      <c r="B13" s="2" t="s">
        <v>202</v>
      </c>
      <c r="C13" s="1" t="s">
        <v>203</v>
      </c>
    </row>
    <row r="14" spans="2:11" x14ac:dyDescent="0.25">
      <c r="C14" s="1" t="s">
        <v>204</v>
      </c>
    </row>
  </sheetData>
  <mergeCells count="1">
    <mergeCell ref="C2:K4"/>
  </mergeCells>
  <phoneticPr fontId="24" type="noConversion"/>
  <pageMargins left="0.7" right="0.7" top="0.75" bottom="0.75" header="0.3" footer="0.3"/>
  <pageSetup paperSize="9" orientation="portrait" horizontalDpi="0" verticalDpi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76381-2801-4675-8B79-9723EB2012B9}">
  <sheetPr>
    <tabColor theme="5"/>
  </sheetPr>
  <dimension ref="B2:K22"/>
  <sheetViews>
    <sheetView workbookViewId="0">
      <selection activeCell="H30" sqref="H30"/>
    </sheetView>
  </sheetViews>
  <sheetFormatPr defaultColWidth="9" defaultRowHeight="17.399999999999999" x14ac:dyDescent="0.25"/>
  <cols>
    <col min="1" max="1" width="9" style="1"/>
    <col min="2" max="2" width="14.109375" style="2" customWidth="1"/>
    <col min="3" max="3" width="9" style="1"/>
    <col min="4" max="4" width="14.6640625" style="1" bestFit="1" customWidth="1"/>
    <col min="5" max="6" width="9" style="1"/>
    <col min="7" max="7" width="24.21875" style="1" customWidth="1"/>
    <col min="8" max="16384" width="9" style="1"/>
  </cols>
  <sheetData>
    <row r="2" spans="2:11" x14ac:dyDescent="0.25">
      <c r="B2" s="2" t="s">
        <v>205</v>
      </c>
      <c r="C2" s="39" t="s">
        <v>206</v>
      </c>
      <c r="D2" s="39"/>
      <c r="E2" s="39"/>
      <c r="F2" s="39"/>
      <c r="G2" s="39"/>
      <c r="H2" s="39"/>
      <c r="I2" s="39"/>
      <c r="J2" s="39"/>
    </row>
    <row r="3" spans="2:11" x14ac:dyDescent="0.25">
      <c r="C3" s="39"/>
      <c r="D3" s="39"/>
      <c r="E3" s="39"/>
      <c r="F3" s="39"/>
      <c r="G3" s="39"/>
      <c r="H3" s="39"/>
      <c r="I3" s="39"/>
      <c r="J3" s="39"/>
    </row>
    <row r="4" spans="2:11" x14ac:dyDescent="0.25">
      <c r="C4" s="39"/>
      <c r="D4" s="39"/>
      <c r="E4" s="39"/>
      <c r="F4" s="39"/>
      <c r="G4" s="39"/>
      <c r="H4" s="39"/>
      <c r="I4" s="39"/>
      <c r="J4" s="39"/>
    </row>
    <row r="6" spans="2:11" x14ac:dyDescent="0.25">
      <c r="B6" s="2" t="s">
        <v>207</v>
      </c>
      <c r="C6" s="1" t="s">
        <v>208</v>
      </c>
    </row>
    <row r="8" spans="2:11" x14ac:dyDescent="0.25">
      <c r="C8" s="3" t="s">
        <v>209</v>
      </c>
      <c r="D8" s="3" t="s">
        <v>210</v>
      </c>
      <c r="E8" s="3" t="s">
        <v>211</v>
      </c>
      <c r="G8" s="3" t="s">
        <v>212</v>
      </c>
    </row>
    <row r="9" spans="2:11" x14ac:dyDescent="0.25">
      <c r="C9" s="3">
        <v>2020</v>
      </c>
      <c r="D9" s="4">
        <v>1</v>
      </c>
      <c r="E9" s="4">
        <v>1</v>
      </c>
      <c r="G9" s="3" t="str">
        <f>C9&amp;D9&amp;E9</f>
        <v>202011</v>
      </c>
      <c r="H9" s="1" t="s">
        <v>213</v>
      </c>
    </row>
    <row r="10" spans="2:11" x14ac:dyDescent="0.25">
      <c r="C10" s="3">
        <v>2020</v>
      </c>
      <c r="D10" s="4" t="s">
        <v>214</v>
      </c>
      <c r="E10" s="4" t="s">
        <v>214</v>
      </c>
      <c r="G10" s="3" t="str">
        <f>C10&amp;D10&amp;E10</f>
        <v>20200101</v>
      </c>
      <c r="H10" s="1" t="s">
        <v>215</v>
      </c>
    </row>
    <row r="11" spans="2:11" x14ac:dyDescent="0.25">
      <c r="C11" s="3">
        <v>2020</v>
      </c>
      <c r="D11" s="4" t="s">
        <v>214</v>
      </c>
      <c r="E11" s="4" t="s">
        <v>214</v>
      </c>
      <c r="G11" s="3" t="str">
        <f>C11&amp;"-"&amp;D11&amp;"-"&amp;E11</f>
        <v>2020-01-01</v>
      </c>
      <c r="H11" s="1" t="s">
        <v>216</v>
      </c>
    </row>
    <row r="13" spans="2:11" x14ac:dyDescent="0.25">
      <c r="B13" s="2" t="s">
        <v>217</v>
      </c>
      <c r="C13" s="1" t="s">
        <v>218</v>
      </c>
    </row>
    <row r="14" spans="2:11" x14ac:dyDescent="0.25">
      <c r="C14" s="1" t="s">
        <v>98</v>
      </c>
      <c r="D14" s="4" t="s">
        <v>219</v>
      </c>
      <c r="G14" s="1" t="str">
        <f>C14&amp;D14</f>
        <v>张三    4453021111111</v>
      </c>
      <c r="H14" s="1" t="s">
        <v>220</v>
      </c>
    </row>
    <row r="16" spans="2:11" ht="18" customHeight="1" x14ac:dyDescent="0.25">
      <c r="B16" s="2" t="s">
        <v>221</v>
      </c>
      <c r="C16" s="39" t="s">
        <v>222</v>
      </c>
      <c r="D16" s="39"/>
      <c r="E16" s="39"/>
      <c r="F16" s="39"/>
      <c r="G16" s="39"/>
      <c r="H16" s="39"/>
      <c r="I16" s="39"/>
      <c r="J16" s="39"/>
      <c r="K16" s="39"/>
    </row>
    <row r="17" spans="3:11" x14ac:dyDescent="0.25">
      <c r="C17" s="39"/>
      <c r="D17" s="39"/>
      <c r="E17" s="39"/>
      <c r="F17" s="39"/>
      <c r="G17" s="39"/>
      <c r="H17" s="39"/>
      <c r="I17" s="39"/>
      <c r="J17" s="39"/>
      <c r="K17" s="39"/>
    </row>
    <row r="18" spans="3:11" x14ac:dyDescent="0.25">
      <c r="C18" s="5"/>
      <c r="D18" s="5"/>
      <c r="E18" s="5"/>
      <c r="F18" s="5"/>
      <c r="G18" s="5"/>
      <c r="H18" s="5"/>
      <c r="I18" s="5"/>
      <c r="J18" s="5"/>
      <c r="K18" s="5"/>
    </row>
    <row r="19" spans="3:11" x14ac:dyDescent="0.25">
      <c r="C19" s="5"/>
      <c r="D19" s="5"/>
      <c r="E19" s="5"/>
      <c r="F19" s="5"/>
      <c r="G19" s="5"/>
      <c r="H19" s="5"/>
      <c r="I19" s="5"/>
      <c r="J19" s="5"/>
      <c r="K19" s="5"/>
    </row>
    <row r="20" spans="3:11" x14ac:dyDescent="0.25">
      <c r="C20" s="5"/>
      <c r="D20" s="5"/>
      <c r="E20" s="5"/>
      <c r="F20" s="5"/>
      <c r="G20" s="5"/>
      <c r="H20" s="5"/>
      <c r="I20" s="5"/>
      <c r="J20" s="5"/>
      <c r="K20" s="5"/>
    </row>
    <row r="21" spans="3:11" x14ac:dyDescent="0.25">
      <c r="C21" s="5"/>
      <c r="D21" s="5"/>
      <c r="E21" s="5"/>
      <c r="F21" s="5"/>
      <c r="G21" s="5"/>
      <c r="H21" s="5"/>
      <c r="I21" s="5"/>
      <c r="J21" s="5"/>
      <c r="K21" s="5"/>
    </row>
    <row r="22" spans="3:11" x14ac:dyDescent="0.25">
      <c r="C22" s="5"/>
      <c r="D22" s="5"/>
      <c r="E22" s="5"/>
      <c r="F22" s="5"/>
      <c r="G22" s="5"/>
      <c r="H22" s="5"/>
      <c r="I22" s="5"/>
      <c r="J22" s="5"/>
      <c r="K22" s="5"/>
    </row>
  </sheetData>
  <mergeCells count="2">
    <mergeCell ref="C2:J4"/>
    <mergeCell ref="C16:K17"/>
  </mergeCells>
  <phoneticPr fontId="24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5</vt:i4>
      </vt:variant>
    </vt:vector>
  </HeadingPairs>
  <TitlesOfParts>
    <vt:vector size="18" baseType="lpstr">
      <vt:lpstr>Excel快速技巧小汇总</vt:lpstr>
      <vt:lpstr>初始化设置</vt:lpstr>
      <vt:lpstr>系统自带快捷键</vt:lpstr>
      <vt:lpstr>自定义快捷键</vt:lpstr>
      <vt:lpstr>分级显示</vt:lpstr>
      <vt:lpstr>下拉菜单</vt:lpstr>
      <vt:lpstr>二级下拉菜单</vt:lpstr>
      <vt:lpstr>单元格格式</vt:lpstr>
      <vt:lpstr>字体美化技术</vt:lpstr>
      <vt:lpstr>数据排序</vt:lpstr>
      <vt:lpstr>数据筛选</vt:lpstr>
      <vt:lpstr>数据拆分</vt:lpstr>
      <vt:lpstr>数据合并</vt:lpstr>
      <vt:lpstr>广东省</vt:lpstr>
      <vt:lpstr>河南省</vt:lpstr>
      <vt:lpstr>湖北省</vt:lpstr>
      <vt:lpstr>山东省</vt:lpstr>
      <vt:lpstr>四川省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系统管理员</dc:creator>
  <cp:lastModifiedBy>世昌 邵</cp:lastModifiedBy>
  <dcterms:created xsi:type="dcterms:W3CDTF">2020-03-18T03:42:46Z</dcterms:created>
  <dcterms:modified xsi:type="dcterms:W3CDTF">2024-11-03T14:40:27Z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BCC08444CCCE4D15851F4682BAE4D453_11</vt:lpwstr>
  </property>
  <property fmtid="{D5CDD505-2E9C-101B-9397-08002B2CF9AE}" pid="3" name="KSOTemplateUUID">
    <vt:lpwstr>v1.0_mb_zkC0+XfAoQHZ31BJQrA6ng==</vt:lpwstr>
  </property>
  <property fmtid="{D5CDD505-2E9C-101B-9397-08002B2CF9AE}" pid="4" name="KSOProductBuildVer">
    <vt:lpwstr>2052-12.1.0.16729</vt:lpwstr>
  </property>
</Properties>
</file>