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1C0D718A-AEEA-4D30-B034-1A4C20B9EF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 a="1"/>
  <c r="L3" i="1" s="1"/>
  <c r="H5" i="1"/>
  <c r="G5" i="1"/>
  <c r="K3" i="1"/>
  <c r="K2" i="1"/>
  <c r="D3" i="2"/>
  <c r="D4" i="2"/>
  <c r="D5" i="2"/>
  <c r="D6" i="2"/>
  <c r="D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<sst xmlns="http://schemas.openxmlformats.org/spreadsheetml/2006/main" count="39" uniqueCount="28">
  <si>
    <t>班级</t>
    <phoneticPr fontId="1" type="noConversion"/>
  </si>
  <si>
    <t>姓名</t>
    <phoneticPr fontId="1" type="noConversion"/>
  </si>
  <si>
    <t>性别</t>
    <phoneticPr fontId="1" type="noConversion"/>
  </si>
  <si>
    <t>成绩</t>
    <phoneticPr fontId="1" type="noConversion"/>
  </si>
  <si>
    <t>一班</t>
    <phoneticPr fontId="1" type="noConversion"/>
  </si>
  <si>
    <t>华欣琪</t>
    <phoneticPr fontId="1" type="noConversion"/>
  </si>
  <si>
    <t>女</t>
    <phoneticPr fontId="1" type="noConversion"/>
  </si>
  <si>
    <t>孔光桃</t>
    <phoneticPr fontId="1" type="noConversion"/>
  </si>
  <si>
    <t>曹秋</t>
    <phoneticPr fontId="1" type="noConversion"/>
  </si>
  <si>
    <t>男</t>
    <phoneticPr fontId="1" type="noConversion"/>
  </si>
  <si>
    <t>二班</t>
    <phoneticPr fontId="1" type="noConversion"/>
  </si>
  <si>
    <t>孔计香</t>
    <phoneticPr fontId="1" type="noConversion"/>
  </si>
  <si>
    <t>冯忠娇</t>
    <phoneticPr fontId="1" type="noConversion"/>
  </si>
  <si>
    <t>孔盼</t>
    <phoneticPr fontId="1" type="noConversion"/>
  </si>
  <si>
    <t>张璧</t>
  </si>
  <si>
    <t>李厚菊</t>
  </si>
  <si>
    <t>吕光萍</t>
  </si>
  <si>
    <t>冯琰</t>
  </si>
  <si>
    <t>赵琼</t>
  </si>
  <si>
    <t>1.求出二班的及格人数？</t>
    <phoneticPr fontId="1" type="noConversion"/>
  </si>
  <si>
    <t>加分照顾资格</t>
    <phoneticPr fontId="1" type="noConversion"/>
  </si>
  <si>
    <t>籍贯</t>
    <phoneticPr fontId="1" type="noConversion"/>
  </si>
  <si>
    <t>北京</t>
    <phoneticPr fontId="1" type="noConversion"/>
  </si>
  <si>
    <t>新疆</t>
    <phoneticPr fontId="1" type="noConversion"/>
  </si>
  <si>
    <t>山东</t>
    <phoneticPr fontId="1" type="noConversion"/>
  </si>
  <si>
    <t>总分</t>
    <phoneticPr fontId="1" type="noConversion"/>
  </si>
  <si>
    <t>总分超过550分的北京考生享受10分的加分照顾资格</t>
    <phoneticPr fontId="1" type="noConversion"/>
  </si>
  <si>
    <t>2.求出二班姓孔的且名字是两个字的及格学生有几个？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</si>
</sst>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2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M8" sqref="M8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25">
      <c r="A2" s="2" t="s">
        <v>4</v>
      </c>
      <c r="B2" s="2" t="s">
        <v>5</v>
      </c>
      <c r="C2" s="2" t="s">
        <v>6</v>
      </c>
      <c r="D2" s="2">
        <v>72</v>
      </c>
      <c r="F2" t="s">
        <v>19</v>
      </c>
      <c r="K2">
        <f>COUNTIFS($A$2:$A$7,$A$5,$D$2:$D$7,"&gt;=60")</f>
        <v>3</v>
      </c>
    </row>
    <row r="3" spans="1:12" x14ac:dyDescent="0.25">
      <c r="A3" s="2" t="s">
        <v>4</v>
      </c>
      <c r="B3" s="2" t="s">
        <v>7</v>
      </c>
      <c r="C3" s="2" t="s">
        <v>6</v>
      </c>
      <c r="D3" s="2">
        <v>56</v>
      </c>
      <c r="F3" t="s">
        <v>27</v>
      </c>
      <c r="K3">
        <f>COUNTIFS($A$2:$A$7,$A$5,$B$2:$B$7,"孔*",$D$2:$D$7,"&gt;=60")-COUNTIFS($A$2:$A$7,$A$5,$B$2:$B$7,"孔**",$D$2:$D$7,"&gt;=60")</f>
        <v>0</v>
      </c>
      <c r="L3" cm="1">
        <f t="array" ref="L3">SUM((A2:A7=A6)*(LEFT(B2:B7,1)="孔")*(LEN(B2:B7)=2)*(D2:D7&gt;=60)*1)</f>
        <v>1</v>
      </c>
    </row>
    <row r="4" spans="1:12" x14ac:dyDescent="0.25">
      <c r="A4" s="2" t="s">
        <v>4</v>
      </c>
      <c r="B4" s="2" t="s">
        <v>8</v>
      </c>
      <c r="C4" s="2" t="s">
        <v>9</v>
      </c>
      <c r="D4" s="2">
        <v>93</v>
      </c>
    </row>
    <row r="5" spans="1:12" x14ac:dyDescent="0.25">
      <c r="A5" s="2" t="s">
        <v>10</v>
      </c>
      <c r="B5" s="2" t="s">
        <v>11</v>
      </c>
      <c r="C5" s="2" t="s">
        <v>6</v>
      </c>
      <c r="D5" s="2">
        <v>81</v>
      </c>
      <c r="G5">
        <f>COUNTIFS(A2:A7,"二班",B2:B7,"孔??",D2:D7,"&gt;=60")</f>
        <v>1</v>
      </c>
      <c r="H5">
        <f>COUNTIFS(A2:A7,"二班",B2:B7,"孔?",D2:D7,"&gt;=60")</f>
        <v>1</v>
      </c>
    </row>
    <row r="6" spans="1:12" x14ac:dyDescent="0.25">
      <c r="A6" s="2" t="s">
        <v>10</v>
      </c>
      <c r="B6" s="2" t="s">
        <v>12</v>
      </c>
      <c r="C6" s="2" t="s">
        <v>6</v>
      </c>
      <c r="D6" s="2">
        <v>67</v>
      </c>
    </row>
    <row r="7" spans="1:12" x14ac:dyDescent="0.25">
      <c r="A7" s="2" t="s">
        <v>10</v>
      </c>
      <c r="B7" s="2" t="s">
        <v>13</v>
      </c>
      <c r="C7" s="2" t="s">
        <v>9</v>
      </c>
      <c r="D7" s="2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F12" sqref="F12"/>
    </sheetView>
  </sheetViews>
  <sheetFormatPr defaultRowHeight="13.8" x14ac:dyDescent="0.25"/>
  <cols>
    <col min="4" max="4" width="12.109375" customWidth="1"/>
  </cols>
  <sheetData>
    <row r="1" spans="1:4" x14ac:dyDescent="0.25">
      <c r="A1" s="1" t="s">
        <v>1</v>
      </c>
      <c r="B1" s="1" t="s">
        <v>21</v>
      </c>
      <c r="C1" s="1" t="s">
        <v>25</v>
      </c>
      <c r="D1" s="3" t="s">
        <v>20</v>
      </c>
    </row>
    <row r="2" spans="1:4" x14ac:dyDescent="0.25">
      <c r="A2" s="2" t="s">
        <v>14</v>
      </c>
      <c r="B2" s="2" t="s">
        <v>22</v>
      </c>
      <c r="C2" s="2">
        <v>583</v>
      </c>
      <c r="D2" s="2">
        <f>IF(COUNTIFS($B2,$B$2,$C2,"&gt;550")=1,10,0)</f>
        <v>10</v>
      </c>
    </row>
    <row r="3" spans="1:4" x14ac:dyDescent="0.25">
      <c r="A3" s="2" t="s">
        <v>15</v>
      </c>
      <c r="B3" s="2" t="s">
        <v>22</v>
      </c>
      <c r="C3" s="2">
        <v>531</v>
      </c>
      <c r="D3" s="2">
        <f t="shared" ref="D3:D6" si="0">IF(COUNTIFS($B3,$B$2,$C3,"&gt;550")=1,10,0)</f>
        <v>0</v>
      </c>
    </row>
    <row r="4" spans="1:4" x14ac:dyDescent="0.25">
      <c r="A4" s="2" t="s">
        <v>16</v>
      </c>
      <c r="B4" s="2" t="s">
        <v>23</v>
      </c>
      <c r="C4" s="2">
        <v>694</v>
      </c>
      <c r="D4" s="2">
        <f t="shared" si="0"/>
        <v>0</v>
      </c>
    </row>
    <row r="5" spans="1:4" x14ac:dyDescent="0.25">
      <c r="A5" s="2" t="s">
        <v>17</v>
      </c>
      <c r="B5" s="2" t="s">
        <v>24</v>
      </c>
      <c r="C5" s="2">
        <v>501</v>
      </c>
      <c r="D5" s="2">
        <f t="shared" si="0"/>
        <v>0</v>
      </c>
    </row>
    <row r="6" spans="1:4" x14ac:dyDescent="0.25">
      <c r="A6" s="2" t="s">
        <v>18</v>
      </c>
      <c r="B6" s="2" t="s">
        <v>22</v>
      </c>
      <c r="C6" s="2">
        <v>560</v>
      </c>
      <c r="D6" s="2">
        <f t="shared" si="0"/>
        <v>10</v>
      </c>
    </row>
    <row r="10" spans="1:4" x14ac:dyDescent="0.25">
      <c r="A10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2024-10-26T13:17:38Z</dcterms:modified>
</cp:coreProperties>
</file>