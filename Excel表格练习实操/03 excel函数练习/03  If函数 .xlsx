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1282FAEB-2346-47E7-B1A3-0156937BBA8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练习题1" sheetId="1" r:id="rId1"/>
    <sheet name="练习题2" sheetId="4" r:id="rId2"/>
    <sheet name="练习题3" sheetId="2" r:id="rId3"/>
    <sheet name="练习题4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B7" i="2"/>
  <c r="B8" i="2"/>
  <c r="B5" i="2"/>
  <c r="C8" i="4"/>
  <c r="G8" i="4"/>
  <c r="C4" i="4"/>
  <c r="C5" i="4"/>
  <c r="C6" i="4"/>
  <c r="C7" i="4"/>
  <c r="C3" i="4"/>
  <c r="C9" i="1"/>
  <c r="G9" i="1"/>
  <c r="C8" i="1"/>
  <c r="G8" i="1"/>
  <c r="C4" i="1"/>
  <c r="C5" i="1"/>
  <c r="C6" i="1"/>
  <c r="C7" i="1"/>
  <c r="C3" i="1"/>
  <c r="C12" i="3"/>
  <c r="H12" i="3"/>
  <c r="C11" i="3"/>
  <c r="H11" i="3"/>
  <c r="C10" i="3"/>
  <c r="H10" i="3"/>
  <c r="C9" i="3"/>
  <c r="H9" i="3"/>
  <c r="C8" i="3"/>
  <c r="H8" i="3"/>
  <c r="C4" i="3"/>
  <c r="C5" i="3"/>
  <c r="C6" i="3"/>
  <c r="C7" i="3"/>
  <c r="C3" i="3"/>
  <c r="H4" i="3"/>
  <c r="H5" i="3"/>
  <c r="H6" i="3"/>
  <c r="H7" i="3"/>
  <c r="H3" i="3"/>
  <c r="G6" i="2"/>
  <c r="G7" i="2"/>
  <c r="G8" i="2"/>
  <c r="G5" i="2"/>
  <c r="G4" i="4"/>
  <c r="G5" i="4"/>
  <c r="G6" i="4"/>
  <c r="G7" i="4"/>
  <c r="G3" i="4"/>
  <c r="G4" i="1"/>
  <c r="G5" i="1"/>
  <c r="G6" i="1"/>
  <c r="G7" i="1"/>
  <c r="G3" i="1"/>
</calcChain>
</file>

<file path=xl/sharedStrings.xml><?xml version="1.0" encoding="utf-8"?>
<sst xmlns="http://schemas.openxmlformats.org/spreadsheetml/2006/main" count="57" uniqueCount="37">
  <si>
    <t>姓名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</si>
  <si>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</si>
  <si>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</si>
  <si>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</si>
  <si>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陈六</t>
    <phoneticPr fontId="1" type="noConversion"/>
  </si>
  <si>
    <t>周七</t>
    <phoneticPr fontId="1" type="noConversion"/>
  </si>
  <si>
    <t>成绩单</t>
    <phoneticPr fontId="1" type="noConversion"/>
  </si>
  <si>
    <t>成绩</t>
    <phoneticPr fontId="1" type="noConversion"/>
  </si>
  <si>
    <t>是否及格</t>
    <phoneticPr fontId="1" type="noConversion"/>
  </si>
  <si>
    <t>请对下面的买家评价分数进行分级</t>
    <phoneticPr fontId="4" type="noConversion"/>
  </si>
  <si>
    <t>4分以上好评,3分以上中评,以下就是差评</t>
    <phoneticPr fontId="4" type="noConversion"/>
  </si>
  <si>
    <t>买家评分</t>
    <phoneticPr fontId="4" type="noConversion"/>
  </si>
  <si>
    <t>评价级别</t>
    <phoneticPr fontId="4" type="noConversion"/>
  </si>
  <si>
    <t>等级</t>
    <phoneticPr fontId="1" type="noConversion"/>
  </si>
  <si>
    <t>注：等级说明如下：</t>
    <phoneticPr fontId="1" type="noConversion"/>
  </si>
  <si>
    <t>优秀</t>
    <phoneticPr fontId="1" type="noConversion"/>
  </si>
  <si>
    <t>90-100</t>
    <phoneticPr fontId="1" type="noConversion"/>
  </si>
  <si>
    <t>80-89</t>
    <phoneticPr fontId="1" type="noConversion"/>
  </si>
  <si>
    <t>良好</t>
    <phoneticPr fontId="1" type="noConversion"/>
  </si>
  <si>
    <t>70-79</t>
    <phoneticPr fontId="1" type="noConversion"/>
  </si>
  <si>
    <t>中等</t>
    <phoneticPr fontId="1" type="noConversion"/>
  </si>
  <si>
    <t>60-69</t>
    <phoneticPr fontId="1" type="noConversion"/>
  </si>
  <si>
    <t>合格</t>
    <phoneticPr fontId="1" type="noConversion"/>
  </si>
  <si>
    <t>0-59</t>
    <phoneticPr fontId="1" type="noConversion"/>
  </si>
  <si>
    <t>不合格</t>
    <phoneticPr fontId="1" type="noConversion"/>
  </si>
  <si>
    <t>奖金明细表</t>
    <phoneticPr fontId="1" type="noConversion"/>
  </si>
  <si>
    <t>业绩</t>
    <phoneticPr fontId="1" type="noConversion"/>
  </si>
  <si>
    <t>奖金</t>
    <phoneticPr fontId="1" type="noConversion"/>
  </si>
  <si>
    <t>注：奖金评定说明</t>
    <phoneticPr fontId="1" type="noConversion"/>
  </si>
  <si>
    <t>业绩低于5000，奖金为100</t>
    <phoneticPr fontId="1" type="noConversion"/>
  </si>
  <si>
    <t>业绩大于等于5000，奖金为200</t>
    <phoneticPr fontId="1" type="noConversion"/>
  </si>
  <si>
    <t>业绩大于等于1万，奖金为500</t>
    <phoneticPr fontId="1" type="noConversion"/>
  </si>
  <si>
    <t>注：是否及格说明</t>
    <phoneticPr fontId="1" type="noConversion"/>
  </si>
  <si>
    <t>成绩低于80分不及格</t>
    <phoneticPr fontId="1" type="noConversion"/>
  </si>
  <si>
    <t>大于80分及格</t>
    <phoneticPr fontId="1" type="noConversion"/>
  </si>
  <si>
    <t>答案</t>
    <phoneticPr fontId="1" type="noConversion"/>
  </si>
  <si>
    <t>答案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</si>
</sst>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3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2" borderId="1" xfId="0" applyFill="1" applyBorder="1" applyAlignment="1" applyProtection="1">
      <alignment horizontal="left" vertical="center"/>
      <protection locked="0"/>
    </xf>
    <xf numFmtId="0" fontId="3" fillId="2" borderId="0" xfId="0" applyFont="1" applyFill="1"/>
    <xf numFmtId="0" fontId="0" fillId="2" borderId="0" xfId="0" applyFill="1"/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2" xfId="0" applyFill="1" applyBorder="1"/>
    <xf numFmtId="0" fontId="0" fillId="0" borderId="2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F16" sqref="F16"/>
    </sheetView>
  </sheetViews>
  <sheetFormatPr defaultRowHeight="13.8" x14ac:dyDescent="0.25"/>
  <sheetData>
    <row r="1" spans="1:7" x14ac:dyDescent="0.25">
      <c r="A1" s="11" t="s">
        <v>6</v>
      </c>
      <c r="B1" s="11"/>
      <c r="C1" s="11"/>
      <c r="G1" s="9" t="s">
        <v>35</v>
      </c>
    </row>
    <row r="2" spans="1:7" x14ac:dyDescent="0.25">
      <c r="A2" s="2" t="s">
        <v>0</v>
      </c>
      <c r="B2" s="2" t="s">
        <v>7</v>
      </c>
      <c r="C2" s="2" t="s">
        <v>8</v>
      </c>
      <c r="G2" s="2" t="s">
        <v>8</v>
      </c>
    </row>
    <row r="3" spans="1:7" x14ac:dyDescent="0.25">
      <c r="A3" s="1" t="s">
        <v>1</v>
      </c>
      <c r="B3" s="1">
        <v>86</v>
      </c>
      <c r="C3" s="8" t="str">
        <f>IF(B3&gt;=80,"及格","不及格")</f>
        <v>及格</v>
      </c>
      <c r="G3" s="8" t="str">
        <f>IF(B3&gt;=80,"及格","不及格")</f>
        <v>及格</v>
      </c>
    </row>
    <row r="4" spans="1:7" x14ac:dyDescent="0.25">
      <c r="A4" s="1" t="s">
        <v>2</v>
      </c>
      <c r="B4" s="1">
        <v>63</v>
      </c>
      <c r="C4" s="8" t="str">
        <f t="shared" ref="C4:C9" si="0">IF(B4&gt;=80,"及格","不及格")</f>
        <v>不及格</v>
      </c>
      <c r="G4" s="8" t="str">
        <f t="shared" ref="G4:G9" si="1">IF(B4&gt;=80,"及格","不及格")</f>
        <v>不及格</v>
      </c>
    </row>
    <row r="5" spans="1:7" x14ac:dyDescent="0.25">
      <c r="A5" s="1" t="s">
        <v>3</v>
      </c>
      <c r="B5" s="1">
        <v>99</v>
      </c>
      <c r="C5" s="8" t="str">
        <f t="shared" si="0"/>
        <v>及格</v>
      </c>
      <c r="G5" s="8" t="str">
        <f t="shared" si="1"/>
        <v>及格</v>
      </c>
    </row>
    <row r="6" spans="1:7" x14ac:dyDescent="0.25">
      <c r="A6" s="1" t="s">
        <v>4</v>
      </c>
      <c r="B6" s="1">
        <v>57</v>
      </c>
      <c r="C6" s="8" t="str">
        <f t="shared" si="0"/>
        <v>不及格</v>
      </c>
      <c r="G6" s="8" t="str">
        <f t="shared" si="1"/>
        <v>不及格</v>
      </c>
    </row>
    <row r="7" spans="1:7" x14ac:dyDescent="0.25">
      <c r="A7" s="1" t="s">
        <v>5</v>
      </c>
      <c r="B7" s="1">
        <v>60</v>
      </c>
      <c r="C7" s="8" t="str">
        <f t="shared" si="0"/>
        <v>不及格</v>
      </c>
      <c r="G7" s="8" t="str">
        <f t="shared" si="1"/>
        <v>不及格</v>
      </c>
    </row>
    <row r="8" spans="1:7" x14ac:dyDescent="0.25">
      <c r="B8" s="13">
        <v>45</v>
      </c>
      <c r="C8" s="14" t="str">
        <f t="shared" si="0"/>
        <v>不及格</v>
      </c>
      <c r="G8" s="14" t="str">
        <f t="shared" si="1"/>
        <v>不及格</v>
      </c>
    </row>
    <row r="9" spans="1:7" x14ac:dyDescent="0.25">
      <c r="B9" s="13">
        <v>80</v>
      </c>
      <c r="C9" s="14" t="str">
        <f t="shared" si="0"/>
        <v>及格</v>
      </c>
      <c r="D9" s="6" t="s">
        <v>32</v>
      </c>
      <c r="G9" s="14" t="str">
        <f t="shared" si="1"/>
        <v>及格</v>
      </c>
    </row>
    <row r="10" spans="1:7" x14ac:dyDescent="0.25">
      <c r="D10" t="s">
        <v>33</v>
      </c>
    </row>
    <row r="11" spans="1:7" x14ac:dyDescent="0.25">
      <c r="D11" t="s">
        <v>34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I6" sqref="I6"/>
    </sheetView>
  </sheetViews>
  <sheetFormatPr defaultRowHeight="13.8" x14ac:dyDescent="0.25"/>
  <sheetData>
    <row r="1" spans="1:7" x14ac:dyDescent="0.25">
      <c r="A1" s="11" t="s">
        <v>25</v>
      </c>
      <c r="B1" s="11"/>
      <c r="C1" s="11"/>
      <c r="G1" s="9" t="s">
        <v>35</v>
      </c>
    </row>
    <row r="2" spans="1:7" x14ac:dyDescent="0.25">
      <c r="A2" s="2" t="s">
        <v>0</v>
      </c>
      <c r="B2" s="2" t="s">
        <v>26</v>
      </c>
      <c r="C2" s="2" t="s">
        <v>27</v>
      </c>
      <c r="G2" s="2" t="s">
        <v>27</v>
      </c>
    </row>
    <row r="3" spans="1:7" x14ac:dyDescent="0.25">
      <c r="A3" s="1" t="s">
        <v>1</v>
      </c>
      <c r="B3" s="1">
        <v>5300</v>
      </c>
      <c r="C3" s="1">
        <f>IF(B3&gt;=10000,500,IF(B3&gt;=5000,200,100))</f>
        <v>200</v>
      </c>
      <c r="G3" s="1">
        <f>IF(B3&lt;5000,100,IF(AND(B3&gt;=5000,B3&lt;=10000),200,IF(B3&gt;=10000,500)))</f>
        <v>200</v>
      </c>
    </row>
    <row r="4" spans="1:7" x14ac:dyDescent="0.25">
      <c r="A4" s="1" t="s">
        <v>2</v>
      </c>
      <c r="B4" s="1">
        <v>4600</v>
      </c>
      <c r="C4" s="1">
        <f t="shared" ref="C4:C8" si="0">IF(B4&gt;=10000,500,IF(B4&gt;=5000,200,100))</f>
        <v>100</v>
      </c>
      <c r="G4" s="1">
        <f t="shared" ref="G4:G8" si="1">IF(B4&lt;5000,100,IF(AND(B4&gt;=5000,B4&lt;=10000),200,IF(B4&gt;=10000,500)))</f>
        <v>100</v>
      </c>
    </row>
    <row r="5" spans="1:7" x14ac:dyDescent="0.25">
      <c r="A5" s="1" t="s">
        <v>3</v>
      </c>
      <c r="B5" s="1">
        <v>7100</v>
      </c>
      <c r="C5" s="1">
        <f t="shared" si="0"/>
        <v>200</v>
      </c>
      <c r="G5" s="1">
        <f t="shared" si="1"/>
        <v>200</v>
      </c>
    </row>
    <row r="6" spans="1:7" x14ac:dyDescent="0.25">
      <c r="A6" s="1" t="s">
        <v>4</v>
      </c>
      <c r="B6" s="1">
        <v>5050</v>
      </c>
      <c r="C6" s="1">
        <f t="shared" si="0"/>
        <v>200</v>
      </c>
      <c r="G6" s="1">
        <f t="shared" si="1"/>
        <v>200</v>
      </c>
    </row>
    <row r="7" spans="1:7" x14ac:dyDescent="0.25">
      <c r="A7" s="1" t="s">
        <v>5</v>
      </c>
      <c r="B7" s="1">
        <v>11000</v>
      </c>
      <c r="C7" s="1">
        <f t="shared" si="0"/>
        <v>500</v>
      </c>
      <c r="G7" s="1">
        <f t="shared" si="1"/>
        <v>500</v>
      </c>
    </row>
    <row r="8" spans="1:7" x14ac:dyDescent="0.25">
      <c r="B8" s="13">
        <v>50000</v>
      </c>
      <c r="C8" s="13">
        <f t="shared" si="0"/>
        <v>500</v>
      </c>
      <c r="E8" s="6" t="s">
        <v>28</v>
      </c>
      <c r="F8" s="7"/>
      <c r="G8" s="13">
        <f t="shared" si="1"/>
        <v>500</v>
      </c>
    </row>
    <row r="9" spans="1:7" x14ac:dyDescent="0.25">
      <c r="E9" t="s">
        <v>29</v>
      </c>
    </row>
    <row r="10" spans="1:7" x14ac:dyDescent="0.25">
      <c r="E10" t="s">
        <v>30</v>
      </c>
    </row>
    <row r="11" spans="1:7" x14ac:dyDescent="0.25">
      <c r="E11" t="s">
        <v>31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8"/>
  <sheetViews>
    <sheetView workbookViewId="0">
      <selection activeCell="E8" sqref="E8"/>
    </sheetView>
  </sheetViews>
  <sheetFormatPr defaultRowHeight="13.8" x14ac:dyDescent="0.25"/>
  <cols>
    <col min="1" max="1" width="13.21875" customWidth="1"/>
    <col min="2" max="2" width="15.88671875" customWidth="1"/>
  </cols>
  <sheetData>
    <row r="2" spans="1:7" x14ac:dyDescent="0.25">
      <c r="A2" s="3" t="s">
        <v>9</v>
      </c>
      <c r="B2" s="3"/>
    </row>
    <row r="3" spans="1:7" x14ac:dyDescent="0.25">
      <c r="A3" s="3" t="s">
        <v>10</v>
      </c>
      <c r="B3" s="3"/>
      <c r="G3" s="10" t="s">
        <v>35</v>
      </c>
    </row>
    <row r="4" spans="1:7" x14ac:dyDescent="0.25">
      <c r="A4" s="5" t="s">
        <v>11</v>
      </c>
      <c r="B4" s="5" t="s">
        <v>12</v>
      </c>
      <c r="G4" s="5" t="s">
        <v>12</v>
      </c>
    </row>
    <row r="5" spans="1:7" x14ac:dyDescent="0.25">
      <c r="A5" s="4">
        <v>5</v>
      </c>
      <c r="B5" s="4" t="str">
        <f>IF(A5&gt;=4,"好评",IF(A5&gt;=3,"中评","差评"))</f>
        <v>好评</v>
      </c>
      <c r="G5" s="4" t="str">
        <f>IF(A5&lt;3,"差评",IF(AND(A5&gt;3,A5&lt;=4),"中评",IF(A5&gt;4,"好评")))</f>
        <v>好评</v>
      </c>
    </row>
    <row r="6" spans="1:7" x14ac:dyDescent="0.25">
      <c r="A6" s="4">
        <v>4</v>
      </c>
      <c r="B6" s="4" t="str">
        <f t="shared" ref="B6:B8" si="0">IF(A6&gt;=4,"好评",IF(A6&gt;=3,"中评","差评"))</f>
        <v>好评</v>
      </c>
      <c r="G6" s="4" t="str">
        <f t="shared" ref="G6:G8" si="1">IF(A6&lt;3,"差评",IF(AND(A6&gt;3,A6&lt;=4),"中评",IF(A6&gt;4,"好评")))</f>
        <v>中评</v>
      </c>
    </row>
    <row r="7" spans="1:7" x14ac:dyDescent="0.25">
      <c r="A7" s="4">
        <v>3.5</v>
      </c>
      <c r="B7" s="4" t="str">
        <f t="shared" si="0"/>
        <v>中评</v>
      </c>
      <c r="G7" s="4" t="str">
        <f t="shared" si="1"/>
        <v>中评</v>
      </c>
    </row>
    <row r="8" spans="1:7" x14ac:dyDescent="0.25">
      <c r="A8" s="4">
        <v>2.8</v>
      </c>
      <c r="B8" s="4" t="str">
        <f t="shared" si="0"/>
        <v>差评</v>
      </c>
      <c r="G8" s="4" t="str">
        <f t="shared" si="1"/>
        <v>差评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tabSelected="1" workbookViewId="0">
      <selection activeCell="K9" sqref="K9"/>
    </sheetView>
  </sheetViews>
  <sheetFormatPr defaultRowHeight="13.8" x14ac:dyDescent="0.25"/>
  <sheetData>
    <row r="1" spans="1:8" x14ac:dyDescent="0.25">
      <c r="A1" s="11" t="s">
        <v>6</v>
      </c>
      <c r="B1" s="11"/>
      <c r="C1" s="11"/>
      <c r="H1" s="10" t="s">
        <v>36</v>
      </c>
    </row>
    <row r="2" spans="1:8" x14ac:dyDescent="0.25">
      <c r="A2" s="2" t="s">
        <v>0</v>
      </c>
      <c r="B2" s="2" t="s">
        <v>7</v>
      </c>
      <c r="C2" s="2" t="s">
        <v>13</v>
      </c>
      <c r="H2" s="2" t="s">
        <v>13</v>
      </c>
    </row>
    <row r="3" spans="1:8" x14ac:dyDescent="0.25">
      <c r="A3" s="1" t="s">
        <v>1</v>
      </c>
      <c r="B3" s="1">
        <v>86</v>
      </c>
      <c r="C3" s="1" t="str">
        <f>IF(90&lt;=$B3,$F$8,IF(80&lt;=$B3,$F$9,IF(70&lt;=$B3,$F$10,IF(60&lt;=$B3,$F$11,$F$12))))</f>
        <v>良好</v>
      </c>
      <c r="H3" s="1" t="str">
        <f>IF(B3&gt;=90,"优秀",IF(AND(B3&gt;=80,B3&lt;=89),"良好",IF(AND(B3&gt;=70,B3&lt;=79),"中等",IF(AND(B3&gt;=60,B3&lt;=79),"合格",$F$12))))</f>
        <v>良好</v>
      </c>
    </row>
    <row r="4" spans="1:8" x14ac:dyDescent="0.25">
      <c r="A4" s="1" t="s">
        <v>2</v>
      </c>
      <c r="B4" s="1">
        <v>63</v>
      </c>
      <c r="C4" s="1" t="str">
        <f t="shared" ref="C4:C12" si="0">IF(90&lt;=$B4,$F$8,IF(80&lt;=$B4,$F$9,IF(70&lt;=$B4,$F$10,IF(60&lt;=$B4,$F$11,$F$12))))</f>
        <v>合格</v>
      </c>
      <c r="H4" s="1" t="str">
        <f t="shared" ref="H4:H12" si="1">IF(B4&gt;=90,"优秀",IF(AND(B4&gt;=80,B4&lt;=89),"良好",IF(AND(B4&gt;=70,B4&lt;=79),"中等",IF(AND(B4&gt;=60,B4&lt;=79),"合格",$F$12))))</f>
        <v>合格</v>
      </c>
    </row>
    <row r="5" spans="1:8" x14ac:dyDescent="0.25">
      <c r="A5" s="1" t="s">
        <v>3</v>
      </c>
      <c r="B5" s="1">
        <v>99</v>
      </c>
      <c r="C5" s="1" t="str">
        <f t="shared" si="0"/>
        <v>优秀</v>
      </c>
      <c r="H5" s="1" t="str">
        <f t="shared" si="1"/>
        <v>优秀</v>
      </c>
    </row>
    <row r="6" spans="1:8" x14ac:dyDescent="0.25">
      <c r="A6" s="1" t="s">
        <v>4</v>
      </c>
      <c r="B6" s="1">
        <v>57</v>
      </c>
      <c r="C6" s="1" t="str">
        <f t="shared" si="0"/>
        <v>不合格</v>
      </c>
      <c r="H6" s="1" t="str">
        <f t="shared" si="1"/>
        <v>不合格</v>
      </c>
    </row>
    <row r="7" spans="1:8" x14ac:dyDescent="0.25">
      <c r="A7" s="1" t="s">
        <v>5</v>
      </c>
      <c r="B7" s="1">
        <v>60</v>
      </c>
      <c r="C7" s="1" t="str">
        <f t="shared" si="0"/>
        <v>合格</v>
      </c>
      <c r="E7" s="12" t="s">
        <v>14</v>
      </c>
      <c r="F7" s="12"/>
      <c r="H7" s="1" t="str">
        <f t="shared" si="1"/>
        <v>合格</v>
      </c>
    </row>
    <row r="8" spans="1:8" x14ac:dyDescent="0.25">
      <c r="B8" s="13">
        <v>89</v>
      </c>
      <c r="C8" s="13" t="str">
        <f t="shared" si="0"/>
        <v>良好</v>
      </c>
      <c r="E8" t="s">
        <v>16</v>
      </c>
      <c r="F8" t="s">
        <v>15</v>
      </c>
      <c r="H8" s="13" t="str">
        <f t="shared" si="1"/>
        <v>良好</v>
      </c>
    </row>
    <row r="9" spans="1:8" x14ac:dyDescent="0.25">
      <c r="B9" s="13">
        <v>79</v>
      </c>
      <c r="C9" s="13" t="str">
        <f t="shared" si="0"/>
        <v>中等</v>
      </c>
      <c r="E9" t="s">
        <v>17</v>
      </c>
      <c r="F9" t="s">
        <v>18</v>
      </c>
      <c r="H9" s="13" t="str">
        <f t="shared" si="1"/>
        <v>中等</v>
      </c>
    </row>
    <row r="10" spans="1:8" x14ac:dyDescent="0.25">
      <c r="B10" s="13">
        <v>50</v>
      </c>
      <c r="C10" s="13" t="str">
        <f t="shared" si="0"/>
        <v>不合格</v>
      </c>
      <c r="E10" t="s">
        <v>19</v>
      </c>
      <c r="F10" t="s">
        <v>20</v>
      </c>
      <c r="H10" s="13" t="str">
        <f t="shared" si="1"/>
        <v>不合格</v>
      </c>
    </row>
    <row r="11" spans="1:8" x14ac:dyDescent="0.25">
      <c r="B11" s="13">
        <v>45</v>
      </c>
      <c r="C11" s="13" t="str">
        <f t="shared" si="0"/>
        <v>不合格</v>
      </c>
      <c r="E11" t="s">
        <v>21</v>
      </c>
      <c r="F11" t="s">
        <v>22</v>
      </c>
      <c r="H11" s="13" t="str">
        <f t="shared" si="1"/>
        <v>不合格</v>
      </c>
    </row>
    <row r="12" spans="1:8" x14ac:dyDescent="0.25">
      <c r="B12" s="13">
        <v>60</v>
      </c>
      <c r="C12" s="13" t="str">
        <f t="shared" si="0"/>
        <v>合格</v>
      </c>
      <c r="E12" t="s">
        <v>23</v>
      </c>
      <c r="F12" t="s">
        <v>24</v>
      </c>
      <c r="H12" s="13" t="str">
        <f t="shared" si="1"/>
        <v>合格</v>
      </c>
    </row>
  </sheetData>
  <mergeCells count="2">
    <mergeCell ref="A1:C1"/>
    <mergeCell ref="E7:F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练习题1</vt:lpstr>
      <vt:lpstr>练习题2</vt:lpstr>
      <vt:lpstr>练习题3</vt:lpstr>
      <vt:lpstr>练习题4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2024-10-22T15:20:43Z</dcterms:modified>
</cp:coreProperties>
</file>