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0B115078-9146-4EBD-87E7-AEE9DC8A32C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  <sheet name="练习题5" sheetId="5" r:id="rId5"/>
    <sheet name="练习题6" sheetId="6" r:id="rId6"/>
    <sheet name="练习题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 a="1"/>
  <c r="H3" i="7"/>
  <c r="H4" i="7" a="1"/>
  <c r="H4" i="7"/>
  <c r="H5" i="7" a="1"/>
  <c r="H5" i="7" s="1"/>
  <c r="H6" i="7" a="1"/>
  <c r="H6" i="7" s="1"/>
  <c r="H7" i="7" a="1"/>
  <c r="H7" i="7"/>
  <c r="H8" i="7" a="1"/>
  <c r="H8" i="7"/>
  <c r="H9" i="7" a="1"/>
  <c r="H9" i="7"/>
  <c r="H2" i="7" a="1"/>
  <c r="H2" i="7"/>
  <c r="D3" i="7"/>
  <c r="D4" i="7"/>
  <c r="D5" i="7"/>
  <c r="D6" i="7"/>
  <c r="D7" i="7"/>
  <c r="D8" i="7"/>
  <c r="D9" i="7"/>
  <c r="D2" i="7"/>
  <c r="C3" i="6"/>
  <c r="C4" i="6"/>
  <c r="C5" i="6"/>
  <c r="C6" i="6"/>
  <c r="C7" i="6"/>
  <c r="C8" i="6"/>
  <c r="C9" i="6"/>
  <c r="C2" i="6"/>
  <c r="J5" i="3"/>
  <c r="J6" i="3"/>
  <c r="J3" i="3"/>
  <c r="J4" i="3"/>
  <c r="J2" i="3"/>
  <c r="E7" i="3"/>
  <c r="E8" i="3"/>
  <c r="E9" i="3"/>
  <c r="E6" i="3"/>
  <c r="E3" i="2"/>
  <c r="E4" i="2"/>
  <c r="E5" i="2"/>
  <c r="E6" i="2"/>
  <c r="E2" i="2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<sst xmlns="http://schemas.openxmlformats.org/spreadsheetml/2006/main" count="164" uniqueCount="72">
  <si>
    <t>班级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</si>
  <si>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</si>
  <si>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</si>
  <si>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</si>
  <si>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一班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</si>
  <si>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</si>
  <si>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</si>
  <si>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</si>
  <si>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</si>
  <si>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</si>
  <si>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二班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</si>
  <si>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</si>
  <si>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</si>
  <si>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</si>
  <si>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</si>
  <si>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</si>
  <si>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</si>
  <si>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张璧</t>
  </si>
  <si>
    <t>李厚菊</t>
  </si>
  <si>
    <t>吕光萍</t>
  </si>
  <si>
    <t>冯琰</t>
  </si>
  <si>
    <t>赵琼</t>
  </si>
  <si>
    <t>是否优秀</t>
    <phoneticPr fontId="1" type="noConversion"/>
  </si>
  <si>
    <t>至少2科成绩超过110分，方可评为优秀</t>
    <phoneticPr fontId="1" type="noConversion"/>
  </si>
  <si>
    <t>1.求出及格人数？</t>
    <phoneticPr fontId="1" type="noConversion"/>
  </si>
  <si>
    <t>2.姓孔的学生有几个？</t>
    <phoneticPr fontId="1" type="noConversion"/>
  </si>
  <si>
    <t>籍贯</t>
    <phoneticPr fontId="1" type="noConversion"/>
  </si>
  <si>
    <t>姜婕</t>
  </si>
  <si>
    <t>金开萍</t>
  </si>
  <si>
    <t>魏半雪</t>
  </si>
  <si>
    <t>山西</t>
    <phoneticPr fontId="1" type="noConversion"/>
  </si>
  <si>
    <t>云南</t>
    <phoneticPr fontId="1" type="noConversion"/>
  </si>
  <si>
    <t>福建</t>
    <phoneticPr fontId="1" type="noConversion"/>
  </si>
  <si>
    <t>河北</t>
    <phoneticPr fontId="1" type="noConversion"/>
  </si>
  <si>
    <t>求出这些学生来自几个不同的省份？</t>
    <phoneticPr fontId="1" type="noConversion"/>
  </si>
  <si>
    <t>方法一：用sum+countif</t>
    <phoneticPr fontId="1" type="noConversion"/>
  </si>
  <si>
    <t>方法二：用sumproduct+countif</t>
    <phoneticPr fontId="1" type="noConversion"/>
  </si>
  <si>
    <t>求出这些学生来自几个不同的省份？ （提示：注意区域中的空单元格）</t>
    <phoneticPr fontId="1" type="noConversion"/>
  </si>
  <si>
    <t>方法一：用if+isblank+sum+countif</t>
    <phoneticPr fontId="1" type="noConversion"/>
  </si>
  <si>
    <t>方法二：用if+isblank+sumproduct+countif</t>
    <phoneticPr fontId="1" type="noConversion"/>
  </si>
  <si>
    <t>方法三：用sum+countif</t>
    <phoneticPr fontId="1" type="noConversion"/>
  </si>
  <si>
    <t>方法四：用sumproduct+countif</t>
    <phoneticPr fontId="1" type="noConversion"/>
  </si>
  <si>
    <t>部门</t>
    <phoneticPr fontId="1" type="noConversion"/>
  </si>
  <si>
    <t>办公室</t>
    <phoneticPr fontId="1" type="noConversion"/>
  </si>
  <si>
    <t>营销部</t>
    <phoneticPr fontId="1" type="noConversion"/>
  </si>
  <si>
    <t>人力部</t>
    <phoneticPr fontId="1" type="noConversion"/>
  </si>
  <si>
    <t>总经办</t>
    <phoneticPr fontId="1" type="noConversion"/>
  </si>
  <si>
    <t>不同的部门从1开始递增编号</t>
    <phoneticPr fontId="1" type="noConversion"/>
  </si>
  <si>
    <t>不同的部门从最大值开始递减编号</t>
    <phoneticPr fontId="1" type="noConversion"/>
  </si>
  <si>
    <t>递减编号</t>
    <phoneticPr fontId="1" type="noConversion"/>
  </si>
  <si>
    <t>递增编号</t>
    <phoneticPr fontId="1" type="noConversion"/>
  </si>
  <si>
    <t>提示：</t>
    <phoneticPr fontId="1" type="noConversion"/>
  </si>
  <si>
    <t>籍贯是否重复</t>
    <phoneticPr fontId="1" type="noConversion"/>
  </si>
  <si>
    <t>提示：将重复的籍贯标注出来。</t>
    <phoneticPr fontId="1" type="noConversion"/>
  </si>
  <si>
    <t>年龄</t>
    <phoneticPr fontId="1" type="noConversion"/>
  </si>
  <si>
    <t>张碧</t>
    <phoneticPr fontId="1" type="noConversion"/>
  </si>
  <si>
    <t>张璧</t>
    <phoneticPr fontId="1" type="noConversion"/>
  </si>
  <si>
    <t>是否完全重复</t>
    <phoneticPr fontId="1" type="noConversion"/>
  </si>
  <si>
    <t>提示</t>
    <phoneticPr fontId="1" type="noConversion"/>
  </si>
  <si>
    <t>当姓名 籍贯 年龄完全相同，才算完全重复</t>
    <phoneticPr fontId="1" type="noConversion"/>
  </si>
  <si>
    <t>方法1</t>
    <phoneticPr fontId="1" type="noConversion"/>
  </si>
  <si>
    <t>方法2</t>
    <phoneticPr fontId="1" type="noConversion"/>
  </si>
  <si>
    <t>籍贯</t>
    <phoneticPr fontId="1" type="noConversion"/>
  </si>
  <si>
    <t>人数</t>
    <phoneticPr fontId="1" type="noConversion"/>
  </si>
  <si>
    <t>山西</t>
    <phoneticPr fontId="1" type="noConversion"/>
  </si>
  <si>
    <t>云南</t>
    <phoneticPr fontId="1" type="noConversion"/>
  </si>
  <si>
    <t>河北</t>
    <phoneticPr fontId="1" type="noConversion"/>
  </si>
  <si>
    <t>福建</t>
    <phoneticPr fontId="1" type="noConversion"/>
  </si>
  <si>
    <t>提取不重复籍贯</t>
    <phoneticPr fontId="1" type="noConversion"/>
  </si>
  <si>
    <t>问题1：</t>
    <phoneticPr fontId="1" type="noConversion"/>
  </si>
  <si>
    <t>问题2：</t>
    <phoneticPr fontId="1" type="noConversion"/>
  </si>
  <si>
    <t>问题3(难):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</si>
</sst>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I4" sqref="I4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2" t="s">
        <v>4</v>
      </c>
      <c r="B2" s="2" t="s">
        <v>5</v>
      </c>
      <c r="C2" s="2" t="s">
        <v>6</v>
      </c>
      <c r="D2" s="2">
        <v>72</v>
      </c>
      <c r="F2" t="s">
        <v>24</v>
      </c>
      <c r="I2">
        <f>COUNTIF(D2:D7,"&gt;=60")</f>
        <v>4</v>
      </c>
    </row>
    <row r="3" spans="1:9" x14ac:dyDescent="0.25">
      <c r="A3" s="2" t="s">
        <v>4</v>
      </c>
      <c r="B3" s="2" t="s">
        <v>7</v>
      </c>
      <c r="C3" s="2" t="s">
        <v>6</v>
      </c>
      <c r="D3" s="2">
        <v>56</v>
      </c>
      <c r="F3" t="s">
        <v>25</v>
      </c>
      <c r="I3">
        <f>COUNTIF(B2:B7,"孔*")</f>
        <v>3</v>
      </c>
    </row>
    <row r="4" spans="1:9" x14ac:dyDescent="0.25">
      <c r="A4" s="2" t="s">
        <v>4</v>
      </c>
      <c r="B4" s="2" t="s">
        <v>8</v>
      </c>
      <c r="C4" s="2" t="s">
        <v>9</v>
      </c>
      <c r="D4" s="2">
        <v>93</v>
      </c>
    </row>
    <row r="5" spans="1:9" x14ac:dyDescent="0.25">
      <c r="A5" s="2" t="s">
        <v>10</v>
      </c>
      <c r="B5" s="2" t="s">
        <v>11</v>
      </c>
      <c r="C5" s="2" t="s">
        <v>6</v>
      </c>
      <c r="D5" s="2">
        <v>81</v>
      </c>
    </row>
    <row r="6" spans="1:9" x14ac:dyDescent="0.25">
      <c r="A6" s="2" t="s">
        <v>10</v>
      </c>
      <c r="B6" s="2" t="s">
        <v>12</v>
      </c>
      <c r="C6" s="2" t="s">
        <v>6</v>
      </c>
      <c r="D6" s="2">
        <v>67</v>
      </c>
    </row>
    <row r="7" spans="1:9" x14ac:dyDescent="0.25">
      <c r="A7" s="2" t="s">
        <v>10</v>
      </c>
      <c r="B7" s="2" t="s">
        <v>13</v>
      </c>
      <c r="C7" s="2" t="s">
        <v>9</v>
      </c>
      <c r="D7" s="2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G4" sqref="G4"/>
    </sheetView>
  </sheetViews>
  <sheetFormatPr defaultRowHeight="13.8" x14ac:dyDescent="0.25"/>
  <sheetData>
    <row r="1" spans="1:5" x14ac:dyDescent="0.25">
      <c r="A1" s="1" t="s">
        <v>1</v>
      </c>
      <c r="B1" s="1" t="s">
        <v>14</v>
      </c>
      <c r="C1" s="1" t="s">
        <v>15</v>
      </c>
      <c r="D1" s="1" t="s">
        <v>16</v>
      </c>
      <c r="E1" s="3" t="s">
        <v>22</v>
      </c>
    </row>
    <row r="2" spans="1:5" x14ac:dyDescent="0.25">
      <c r="A2" s="2" t="s">
        <v>17</v>
      </c>
      <c r="B2" s="2">
        <v>131</v>
      </c>
      <c r="C2" s="2">
        <v>81</v>
      </c>
      <c r="D2" s="2">
        <v>130</v>
      </c>
      <c r="E2" s="2" t="str">
        <f>IF(COUNTIF(B2:D2,"&gt;110")&gt;=2,"优秀")</f>
        <v>优秀</v>
      </c>
    </row>
    <row r="3" spans="1:5" x14ac:dyDescent="0.25">
      <c r="A3" s="2" t="s">
        <v>18</v>
      </c>
      <c r="B3" s="2">
        <v>103</v>
      </c>
      <c r="C3" s="2">
        <v>82</v>
      </c>
      <c r="D3" s="2">
        <v>93</v>
      </c>
      <c r="E3" s="2" t="b">
        <f t="shared" ref="E3:E6" si="0">IF(COUNTIF(B3:D3,"&gt;110")&gt;=2,"优秀")</f>
        <v>0</v>
      </c>
    </row>
    <row r="4" spans="1:5" x14ac:dyDescent="0.25">
      <c r="A4" s="2" t="s">
        <v>19</v>
      </c>
      <c r="B4" s="2">
        <v>86</v>
      </c>
      <c r="C4" s="2">
        <v>130</v>
      </c>
      <c r="D4" s="2">
        <v>125</v>
      </c>
      <c r="E4" s="2" t="str">
        <f t="shared" si="0"/>
        <v>优秀</v>
      </c>
    </row>
    <row r="5" spans="1:5" x14ac:dyDescent="0.25">
      <c r="A5" s="2" t="s">
        <v>20</v>
      </c>
      <c r="B5" s="2">
        <v>117</v>
      </c>
      <c r="C5" s="2">
        <v>81</v>
      </c>
      <c r="D5" s="2">
        <v>114</v>
      </c>
      <c r="E5" s="2" t="str">
        <f t="shared" si="0"/>
        <v>优秀</v>
      </c>
    </row>
    <row r="6" spans="1:5" x14ac:dyDescent="0.25">
      <c r="A6" s="2" t="s">
        <v>21</v>
      </c>
      <c r="B6" s="2">
        <v>142</v>
      </c>
      <c r="C6" s="2">
        <v>95</v>
      </c>
      <c r="D6" s="2">
        <v>144</v>
      </c>
      <c r="E6" s="2" t="str">
        <f t="shared" si="0"/>
        <v>优秀</v>
      </c>
    </row>
    <row r="10" spans="1:5" x14ac:dyDescent="0.25">
      <c r="A10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P10" sqref="P10"/>
    </sheetView>
  </sheetViews>
  <sheetFormatPr defaultRowHeight="13.8" x14ac:dyDescent="0.25"/>
  <cols>
    <col min="9" max="9" width="11.109375" customWidth="1"/>
    <col min="10" max="10" width="14.77734375" customWidth="1"/>
  </cols>
  <sheetData>
    <row r="1" spans="1:13" x14ac:dyDescent="0.25">
      <c r="A1" s="1" t="s">
        <v>1</v>
      </c>
      <c r="B1" s="1" t="s">
        <v>26</v>
      </c>
      <c r="C1" t="s">
        <v>69</v>
      </c>
      <c r="D1" t="s">
        <v>34</v>
      </c>
      <c r="I1" t="s">
        <v>71</v>
      </c>
      <c r="J1" s="4" t="s">
        <v>68</v>
      </c>
      <c r="L1" s="1" t="s">
        <v>1</v>
      </c>
      <c r="M1" s="1" t="s">
        <v>26</v>
      </c>
    </row>
    <row r="2" spans="1:13" x14ac:dyDescent="0.25">
      <c r="A2" s="2" t="s">
        <v>17</v>
      </c>
      <c r="B2" s="2" t="s">
        <v>30</v>
      </c>
      <c r="D2" t="s">
        <v>35</v>
      </c>
      <c r="G2" s="2"/>
      <c r="J2" s="2" t="str">
        <f>IF(COUNTIF($B$2:$B$9,$D6)=1,$D6,"")</f>
        <v/>
      </c>
      <c r="L2" s="2" t="s">
        <v>17</v>
      </c>
      <c r="M2" s="2" t="s">
        <v>30</v>
      </c>
    </row>
    <row r="3" spans="1:13" x14ac:dyDescent="0.25">
      <c r="A3" s="2" t="s">
        <v>18</v>
      </c>
      <c r="B3" s="2" t="s">
        <v>31</v>
      </c>
      <c r="D3" t="s">
        <v>36</v>
      </c>
      <c r="G3" s="2"/>
      <c r="J3" s="2" t="str">
        <f t="shared" ref="J3:J6" si="0">IF(COUNTIF($B$2:$B$9,$D7)=1,$D7,"")</f>
        <v>云南</v>
      </c>
      <c r="L3" s="2" t="s">
        <v>18</v>
      </c>
      <c r="M3" s="2" t="s">
        <v>31</v>
      </c>
    </row>
    <row r="4" spans="1:13" x14ac:dyDescent="0.25">
      <c r="A4" s="2" t="s">
        <v>19</v>
      </c>
      <c r="B4" s="2" t="s">
        <v>30</v>
      </c>
      <c r="J4" s="2" t="str">
        <f t="shared" si="0"/>
        <v>河北</v>
      </c>
      <c r="L4" s="2" t="s">
        <v>21</v>
      </c>
      <c r="M4" s="2" t="s">
        <v>33</v>
      </c>
    </row>
    <row r="5" spans="1:13" x14ac:dyDescent="0.25">
      <c r="A5" s="2" t="s">
        <v>20</v>
      </c>
      <c r="B5" s="2" t="s">
        <v>30</v>
      </c>
      <c r="C5" t="s">
        <v>70</v>
      </c>
      <c r="D5" s="4" t="s">
        <v>62</v>
      </c>
      <c r="E5" s="4" t="s">
        <v>63</v>
      </c>
      <c r="J5" s="2" t="str">
        <f>IF(COUNTIF($B$2:$B$9,$D9)=1,$D9,"")</f>
        <v/>
      </c>
      <c r="L5" s="2" t="s">
        <v>28</v>
      </c>
      <c r="M5" s="2" t="s">
        <v>32</v>
      </c>
    </row>
    <row r="6" spans="1:13" x14ac:dyDescent="0.25">
      <c r="A6" s="2" t="s">
        <v>21</v>
      </c>
      <c r="B6" s="2" t="s">
        <v>33</v>
      </c>
      <c r="D6" s="2" t="s">
        <v>64</v>
      </c>
      <c r="E6" s="2">
        <f>COUNTIF($B$2:$B$9,$D6)</f>
        <v>4</v>
      </c>
      <c r="J6" s="2" t="str">
        <f t="shared" si="0"/>
        <v/>
      </c>
    </row>
    <row r="7" spans="1:13" x14ac:dyDescent="0.25">
      <c r="A7" s="2" t="s">
        <v>27</v>
      </c>
      <c r="B7" s="2" t="s">
        <v>30</v>
      </c>
      <c r="D7" s="2" t="s">
        <v>65</v>
      </c>
      <c r="E7" s="2">
        <f t="shared" ref="E7:E9" si="1">COUNTIF($B$2:$B$9,$D7)</f>
        <v>1</v>
      </c>
      <c r="J7" s="2"/>
    </row>
    <row r="8" spans="1:13" x14ac:dyDescent="0.25">
      <c r="A8" s="2" t="s">
        <v>28</v>
      </c>
      <c r="B8" s="2" t="s">
        <v>32</v>
      </c>
      <c r="D8" s="2" t="s">
        <v>66</v>
      </c>
      <c r="E8" s="2">
        <f t="shared" si="1"/>
        <v>1</v>
      </c>
      <c r="J8" s="2"/>
    </row>
    <row r="9" spans="1:13" x14ac:dyDescent="0.25">
      <c r="A9" s="2" t="s">
        <v>29</v>
      </c>
      <c r="B9" s="2" t="s">
        <v>32</v>
      </c>
      <c r="D9" s="2" t="s">
        <v>67</v>
      </c>
      <c r="E9" s="2">
        <f t="shared" si="1"/>
        <v>2</v>
      </c>
      <c r="J9" s="2"/>
    </row>
    <row r="10" spans="1:13" x14ac:dyDescent="0.25">
      <c r="J1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D12" sqref="D12"/>
    </sheetView>
  </sheetViews>
  <sheetFormatPr defaultRowHeight="13.8" x14ac:dyDescent="0.25"/>
  <sheetData>
    <row r="1" spans="1:8" x14ac:dyDescent="0.25">
      <c r="A1" s="1" t="s">
        <v>1</v>
      </c>
      <c r="B1" s="1" t="s">
        <v>26</v>
      </c>
      <c r="D1" t="s">
        <v>37</v>
      </c>
    </row>
    <row r="2" spans="1:8" x14ac:dyDescent="0.25">
      <c r="A2" s="2" t="s">
        <v>17</v>
      </c>
      <c r="B2" s="2" t="s">
        <v>30</v>
      </c>
      <c r="D2" t="s">
        <v>38</v>
      </c>
      <c r="H2" s="2"/>
    </row>
    <row r="3" spans="1:8" x14ac:dyDescent="0.25">
      <c r="A3" s="2" t="s">
        <v>18</v>
      </c>
      <c r="B3" s="2" t="s">
        <v>31</v>
      </c>
      <c r="D3" t="s">
        <v>39</v>
      </c>
      <c r="H3" s="2"/>
    </row>
    <row r="4" spans="1:8" x14ac:dyDescent="0.25">
      <c r="A4" s="2" t="s">
        <v>19</v>
      </c>
      <c r="B4" s="2" t="s">
        <v>30</v>
      </c>
      <c r="D4" t="s">
        <v>40</v>
      </c>
      <c r="H4" s="2"/>
    </row>
    <row r="5" spans="1:8" x14ac:dyDescent="0.25">
      <c r="A5" s="2" t="s">
        <v>20</v>
      </c>
      <c r="B5" s="2" t="s">
        <v>30</v>
      </c>
      <c r="D5" t="s">
        <v>41</v>
      </c>
      <c r="H5" s="2"/>
    </row>
    <row r="6" spans="1:8" x14ac:dyDescent="0.25">
      <c r="A6" s="2" t="s">
        <v>21</v>
      </c>
      <c r="B6" s="2"/>
    </row>
    <row r="7" spans="1:8" x14ac:dyDescent="0.25">
      <c r="A7" s="2" t="s">
        <v>27</v>
      </c>
      <c r="B7" s="2" t="s">
        <v>30</v>
      </c>
    </row>
    <row r="8" spans="1:8" x14ac:dyDescent="0.25">
      <c r="A8" s="2" t="s">
        <v>28</v>
      </c>
      <c r="B8" s="2"/>
    </row>
    <row r="9" spans="1:8" x14ac:dyDescent="0.25">
      <c r="A9" s="2" t="s">
        <v>29</v>
      </c>
      <c r="B9" s="2" t="s">
        <v>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I11" sqref="I11"/>
    </sheetView>
  </sheetViews>
  <sheetFormatPr defaultRowHeight="13.8" x14ac:dyDescent="0.25"/>
  <sheetData>
    <row r="1" spans="1:7" x14ac:dyDescent="0.25">
      <c r="A1" s="1" t="s">
        <v>1</v>
      </c>
      <c r="B1" s="1" t="s">
        <v>42</v>
      </c>
      <c r="C1" s="4" t="s">
        <v>50</v>
      </c>
      <c r="D1" s="4" t="s">
        <v>49</v>
      </c>
      <c r="F1" t="s">
        <v>51</v>
      </c>
      <c r="G1" t="s">
        <v>47</v>
      </c>
    </row>
    <row r="2" spans="1:7" x14ac:dyDescent="0.25">
      <c r="A2" s="2" t="s">
        <v>17</v>
      </c>
      <c r="B2" s="2" t="s">
        <v>43</v>
      </c>
      <c r="C2" s="2"/>
      <c r="D2" s="2"/>
      <c r="G2" t="s">
        <v>48</v>
      </c>
    </row>
    <row r="3" spans="1:7" x14ac:dyDescent="0.25">
      <c r="A3" s="2" t="s">
        <v>27</v>
      </c>
      <c r="B3" s="2" t="s">
        <v>43</v>
      </c>
      <c r="C3" s="2"/>
      <c r="D3" s="2"/>
    </row>
    <row r="4" spans="1:7" x14ac:dyDescent="0.25">
      <c r="A4" s="2" t="s">
        <v>19</v>
      </c>
      <c r="B4" s="2" t="s">
        <v>45</v>
      </c>
      <c r="C4" s="2"/>
      <c r="D4" s="2"/>
    </row>
    <row r="5" spans="1:7" x14ac:dyDescent="0.25">
      <c r="A5" s="2" t="s">
        <v>29</v>
      </c>
      <c r="B5" s="2" t="s">
        <v>45</v>
      </c>
      <c r="C5" s="2"/>
      <c r="D5" s="2"/>
    </row>
    <row r="6" spans="1:7" x14ac:dyDescent="0.25">
      <c r="A6" s="2" t="s">
        <v>18</v>
      </c>
      <c r="B6" s="2" t="s">
        <v>44</v>
      </c>
      <c r="C6" s="2"/>
      <c r="D6" s="2"/>
    </row>
    <row r="7" spans="1:7" x14ac:dyDescent="0.25">
      <c r="A7" s="2" t="s">
        <v>20</v>
      </c>
      <c r="B7" s="2" t="s">
        <v>44</v>
      </c>
      <c r="C7" s="2"/>
      <c r="D7" s="2"/>
    </row>
    <row r="8" spans="1:7" x14ac:dyDescent="0.25">
      <c r="A8" s="2" t="s">
        <v>21</v>
      </c>
      <c r="B8" s="2" t="s">
        <v>44</v>
      </c>
      <c r="C8" s="2"/>
      <c r="D8" s="2"/>
    </row>
    <row r="9" spans="1:7" x14ac:dyDescent="0.25">
      <c r="A9" s="2" t="s">
        <v>28</v>
      </c>
      <c r="B9" s="2" t="s">
        <v>46</v>
      </c>
      <c r="C9" s="2"/>
      <c r="D9" s="2"/>
    </row>
  </sheetData>
  <sortState xmlns:xlrd2="http://schemas.microsoft.com/office/spreadsheetml/2017/richdata2" ref="A2:D9">
    <sortCondition ref="B2:B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H12" sqref="H12"/>
    </sheetView>
  </sheetViews>
  <sheetFormatPr defaultRowHeight="13.8" x14ac:dyDescent="0.25"/>
  <cols>
    <col min="3" max="3" width="11.77734375" customWidth="1"/>
  </cols>
  <sheetData>
    <row r="1" spans="1:5" x14ac:dyDescent="0.25">
      <c r="A1" s="1" t="s">
        <v>1</v>
      </c>
      <c r="B1" s="1" t="s">
        <v>26</v>
      </c>
      <c r="C1" s="4" t="s">
        <v>52</v>
      </c>
      <c r="E1" t="s">
        <v>53</v>
      </c>
    </row>
    <row r="2" spans="1:5" x14ac:dyDescent="0.25">
      <c r="A2" s="2" t="s">
        <v>17</v>
      </c>
      <c r="B2" s="2" t="s">
        <v>30</v>
      </c>
      <c r="C2" s="2" t="str">
        <f>IF(COUNTIF($B$2:$B$9,$B2)&gt;1,"是","否")</f>
        <v>是</v>
      </c>
    </row>
    <row r="3" spans="1:5" x14ac:dyDescent="0.25">
      <c r="A3" s="2" t="s">
        <v>18</v>
      </c>
      <c r="B3" s="2" t="s">
        <v>31</v>
      </c>
      <c r="C3" s="2" t="str">
        <f t="shared" ref="C3:C9" si="0">IF(COUNTIF($B$2:$B$9,$B3)&gt;1,"是","否")</f>
        <v>否</v>
      </c>
    </row>
    <row r="4" spans="1:5" x14ac:dyDescent="0.25">
      <c r="A4" s="2" t="s">
        <v>19</v>
      </c>
      <c r="B4" s="2" t="s">
        <v>30</v>
      </c>
      <c r="C4" s="2" t="str">
        <f t="shared" si="0"/>
        <v>是</v>
      </c>
    </row>
    <row r="5" spans="1:5" x14ac:dyDescent="0.25">
      <c r="A5" s="2" t="s">
        <v>20</v>
      </c>
      <c r="B5" s="2" t="s">
        <v>30</v>
      </c>
      <c r="C5" s="2" t="str">
        <f t="shared" si="0"/>
        <v>是</v>
      </c>
    </row>
    <row r="6" spans="1:5" x14ac:dyDescent="0.25">
      <c r="A6" s="2" t="s">
        <v>21</v>
      </c>
      <c r="B6" s="2" t="s">
        <v>33</v>
      </c>
      <c r="C6" s="2" t="str">
        <f t="shared" si="0"/>
        <v>否</v>
      </c>
    </row>
    <row r="7" spans="1:5" x14ac:dyDescent="0.25">
      <c r="A7" s="2" t="s">
        <v>27</v>
      </c>
      <c r="B7" s="2" t="s">
        <v>30</v>
      </c>
      <c r="C7" s="2" t="str">
        <f t="shared" si="0"/>
        <v>是</v>
      </c>
    </row>
    <row r="8" spans="1:5" x14ac:dyDescent="0.25">
      <c r="A8" s="2" t="s">
        <v>28</v>
      </c>
      <c r="B8" s="2" t="s">
        <v>32</v>
      </c>
      <c r="C8" s="2" t="str">
        <f t="shared" si="0"/>
        <v>是</v>
      </c>
    </row>
    <row r="9" spans="1:5" x14ac:dyDescent="0.25">
      <c r="A9" s="2" t="s">
        <v>29</v>
      </c>
      <c r="B9" s="2" t="s">
        <v>32</v>
      </c>
      <c r="C9" s="2" t="str">
        <f t="shared" si="0"/>
        <v>是</v>
      </c>
    </row>
  </sheetData>
  <phoneticPr fontId="1" type="noConversion"/>
  <conditionalFormatting sqref="B2:B9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tabSelected="1" workbookViewId="0">
      <selection activeCell="L13" sqref="L13"/>
    </sheetView>
  </sheetViews>
  <sheetFormatPr defaultRowHeight="13.8" x14ac:dyDescent="0.25"/>
  <cols>
    <col min="4" max="4" width="12.109375" customWidth="1"/>
  </cols>
  <sheetData>
    <row r="1" spans="1:9" x14ac:dyDescent="0.25">
      <c r="A1" s="1" t="s">
        <v>1</v>
      </c>
      <c r="B1" s="1" t="s">
        <v>26</v>
      </c>
      <c r="C1" s="1" t="s">
        <v>54</v>
      </c>
      <c r="D1" s="4" t="s">
        <v>57</v>
      </c>
      <c r="H1" t="s">
        <v>60</v>
      </c>
      <c r="I1" t="s">
        <v>61</v>
      </c>
    </row>
    <row r="2" spans="1:9" x14ac:dyDescent="0.25">
      <c r="A2" s="2" t="s">
        <v>56</v>
      </c>
      <c r="B2" s="2" t="s">
        <v>30</v>
      </c>
      <c r="C2" s="2">
        <v>22</v>
      </c>
      <c r="D2" s="2" t="str">
        <f>IF(COUNTIFS($A$2:$A$9,$A2,$B$2:$B$9,$B2,$C$2:$C$9,$C2)&gt;1,"是","否")</f>
        <v>是</v>
      </c>
      <c r="H2" t="str" cm="1">
        <f t="array" ref="H2">IF(SUMPRODUCT(($A2=$A$2:$A$9)*($B2=$B$2:$B$9)*($C2=$C$2:$C$9)*1)&gt;1,"是","否")</f>
        <v>是</v>
      </c>
    </row>
    <row r="3" spans="1:9" x14ac:dyDescent="0.25">
      <c r="A3" s="2" t="s">
        <v>18</v>
      </c>
      <c r="B3" s="2" t="s">
        <v>31</v>
      </c>
      <c r="C3" s="2">
        <v>23</v>
      </c>
      <c r="D3" s="2" t="str">
        <f t="shared" ref="D3:D9" si="0">IF(COUNTIFS($A$2:$A$9,$A3,$B$2:$B$9,$B3,$C$2:$C$9,$C3)&gt;1,"是","否")</f>
        <v>否</v>
      </c>
      <c r="H3" t="str" cm="1">
        <f t="array" ref="H3">IF(SUMPRODUCT(($A3=$A$2:$A$9)*($B3=$B$2:$B$9)*($C3=$C$2:$C$9)*1)&gt;1,"是","否")</f>
        <v>否</v>
      </c>
    </row>
    <row r="4" spans="1:9" x14ac:dyDescent="0.25">
      <c r="A4" s="2" t="s">
        <v>55</v>
      </c>
      <c r="B4" s="2" t="s">
        <v>30</v>
      </c>
      <c r="C4" s="2">
        <v>22</v>
      </c>
      <c r="D4" s="2" t="str">
        <f t="shared" si="0"/>
        <v>否</v>
      </c>
      <c r="H4" t="str" cm="1">
        <f t="array" ref="H4">IF(SUMPRODUCT(($A4=$A$2:$A$9)*($B4=$B$2:$B$9)*($C4=$C$2:$C$9)*1)&gt;1,"是","否")</f>
        <v>否</v>
      </c>
    </row>
    <row r="5" spans="1:9" x14ac:dyDescent="0.25">
      <c r="A5" s="2" t="s">
        <v>56</v>
      </c>
      <c r="B5" s="2" t="s">
        <v>30</v>
      </c>
      <c r="C5" s="2">
        <v>22</v>
      </c>
      <c r="D5" s="2" t="str">
        <f t="shared" si="0"/>
        <v>是</v>
      </c>
      <c r="H5" t="str" cm="1">
        <f t="array" ref="H5">IF(SUMPRODUCT(($A5=$A$2:$A$9)*($B5=$B$2:$B$9)*($C5=$C$2:$C$9)*1)&gt;1,"是","否")</f>
        <v>是</v>
      </c>
    </row>
    <row r="6" spans="1:9" x14ac:dyDescent="0.25">
      <c r="A6" s="2" t="s">
        <v>21</v>
      </c>
      <c r="B6" s="2" t="s">
        <v>33</v>
      </c>
      <c r="C6" s="2">
        <v>26</v>
      </c>
      <c r="D6" s="2" t="str">
        <f t="shared" si="0"/>
        <v>否</v>
      </c>
      <c r="H6" t="str" cm="1">
        <f t="array" ref="H6">IF(SUMPRODUCT(($A6=$A$2:$A$9)*($B6=$B$2:$B$9)*($C6=$C$2:$C$9)*1)&gt;1,"是","否")</f>
        <v>否</v>
      </c>
    </row>
    <row r="7" spans="1:9" x14ac:dyDescent="0.25">
      <c r="A7" s="2" t="s">
        <v>27</v>
      </c>
      <c r="B7" s="2" t="s">
        <v>30</v>
      </c>
      <c r="C7" s="2">
        <v>27</v>
      </c>
      <c r="D7" s="2" t="str">
        <f t="shared" si="0"/>
        <v>否</v>
      </c>
      <c r="H7" t="str" cm="1">
        <f t="array" ref="H7">IF(SUMPRODUCT(($A7=$A$2:$A$9)*($B7=$B$2:$B$9)*($C7=$C$2:$C$9)*1)&gt;1,"是","否")</f>
        <v>否</v>
      </c>
    </row>
    <row r="8" spans="1:9" x14ac:dyDescent="0.25">
      <c r="A8" s="2" t="s">
        <v>28</v>
      </c>
      <c r="B8" s="2" t="s">
        <v>32</v>
      </c>
      <c r="C8" s="2">
        <v>21</v>
      </c>
      <c r="D8" s="2" t="str">
        <f t="shared" si="0"/>
        <v>否</v>
      </c>
      <c r="H8" t="str" cm="1">
        <f t="array" ref="H8">IF(SUMPRODUCT(($A8=$A$2:$A$9)*($B8=$B$2:$B$9)*($C8=$C$2:$C$9)*1)&gt;1,"是","否")</f>
        <v>否</v>
      </c>
    </row>
    <row r="9" spans="1:9" x14ac:dyDescent="0.25">
      <c r="A9" s="2" t="s">
        <v>29</v>
      </c>
      <c r="B9" s="2" t="s">
        <v>32</v>
      </c>
      <c r="C9" s="2">
        <v>30</v>
      </c>
      <c r="D9" s="2" t="str">
        <f t="shared" si="0"/>
        <v>否</v>
      </c>
      <c r="H9" t="str" cm="1">
        <f t="array" ref="H9">IF(SUMPRODUCT(($A9=$A$2:$A$9)*($B9=$B$2:$B$9)*($C9=$C$2:$C$9)*1)&gt;1,"是","否")</f>
        <v>否</v>
      </c>
    </row>
    <row r="11" spans="1:9" x14ac:dyDescent="0.25">
      <c r="A11" t="s">
        <v>58</v>
      </c>
    </row>
    <row r="12" spans="1:9" x14ac:dyDescent="0.25">
      <c r="A12" t="s">
        <v>59</v>
      </c>
    </row>
  </sheetData>
  <phoneticPr fontId="1" type="noConversion"/>
  <conditionalFormatting sqref="D2:D9">
    <cfRule type="cellIs" dxfId="0" priority="1" operator="equal">
      <formula>"是"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练习题1</vt:lpstr>
      <vt:lpstr>练习题2</vt:lpstr>
      <vt:lpstr>练习题3</vt:lpstr>
      <vt:lpstr>练习题4</vt:lpstr>
      <vt:lpstr>练习题5</vt:lpstr>
      <vt:lpstr>练习题6</vt:lpstr>
      <vt:lpstr>练习题7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2024-10-26T13:03:23Z</dcterms:modified>
</cp:coreProperties>
</file>