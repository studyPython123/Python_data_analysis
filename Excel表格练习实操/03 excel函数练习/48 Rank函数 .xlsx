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494DD3A6-2547-4DAF-B2F4-C817AD57882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练习题1" sheetId="1" r:id="rId1"/>
    <sheet name="练习题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2" i="2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  <c r="E9" i="2" a="1"/>
  <c r="E9" i="2" s="1"/>
  <c r="E8" i="2" a="1"/>
  <c r="E8" i="2" s="1"/>
  <c r="E7" i="2" a="1"/>
  <c r="E7" i="2" s="1"/>
  <c r="E6" i="2" a="1"/>
  <c r="E6" i="2" s="1"/>
  <c r="E5" i="2" a="1"/>
  <c r="E5" i="2" s="1"/>
  <c r="E4" i="2" a="1"/>
  <c r="E4" i="2" s="1"/>
  <c r="E3" i="2" a="1"/>
  <c r="E3" i="2" s="1"/>
  <c r="E2" i="2" a="1"/>
  <c r="E2" i="2" s="1"/>
</calcChain>
</file>

<file path=xl/sharedStrings.xml><?xml version="1.0" encoding="utf-8"?>
<sst xmlns="http://schemas.openxmlformats.org/spreadsheetml/2006/main" count="42" uniqueCount="28">
  <si>
    <t>姓名</t>
    <phoneticPr fontId="1" type="noConversion"/>
  </si>
  <si>
    <t>性别</t>
    <phoneticPr fontId="1" type="noConversion"/>
  </si>
  <si>
    <t>成绩</t>
    <phoneticPr fontId="1" type="noConversion"/>
  </si>
  <si>
    <t>华欣琪</t>
    <phoneticPr fontId="1" type="noConversion"/>
  </si>
  <si>
    <t>女</t>
    <phoneticPr fontId="1" type="noConversion"/>
  </si>
  <si>
    <t>孔光桃</t>
    <phoneticPr fontId="1" type="noConversion"/>
  </si>
  <si>
    <t>曹秋</t>
    <phoneticPr fontId="1" type="noConversion"/>
  </si>
  <si>
    <t>男</t>
    <phoneticPr fontId="1" type="noConversion"/>
  </si>
  <si>
    <t>孔计香</t>
    <phoneticPr fontId="1" type="noConversion"/>
  </si>
  <si>
    <t>冯忠娇</t>
    <phoneticPr fontId="1" type="noConversion"/>
  </si>
  <si>
    <t>孔盼</t>
    <phoneticPr fontId="1" type="noConversion"/>
  </si>
  <si>
    <t>张茜</t>
  </si>
  <si>
    <t>戚敏茹</t>
  </si>
  <si>
    <t>女</t>
    <phoneticPr fontId="1" type="noConversion"/>
  </si>
  <si>
    <t>排名</t>
    <phoneticPr fontId="1" type="noConversion"/>
  </si>
  <si>
    <t>运动员</t>
    <phoneticPr fontId="1" type="noConversion"/>
  </si>
  <si>
    <t>项目</t>
    <phoneticPr fontId="1" type="noConversion"/>
  </si>
  <si>
    <t>刘翔</t>
    <phoneticPr fontId="1" type="noConversion"/>
  </si>
  <si>
    <t>110米栏</t>
    <phoneticPr fontId="1" type="noConversion"/>
  </si>
  <si>
    <t>周星龙</t>
    <phoneticPr fontId="1" type="noConversion"/>
  </si>
  <si>
    <t>秦选国</t>
    <phoneticPr fontId="1" type="noConversion"/>
  </si>
  <si>
    <t>结果（秒）</t>
    <phoneticPr fontId="1" type="noConversion"/>
  </si>
  <si>
    <t>王星</t>
    <phoneticPr fontId="1" type="noConversion"/>
  </si>
  <si>
    <t>张立诚</t>
    <phoneticPr fontId="1" type="noConversion"/>
  </si>
  <si>
    <t>韩诚</t>
    <phoneticPr fontId="1" type="noConversion"/>
  </si>
  <si>
    <t>许十一</t>
    <phoneticPr fontId="1" type="noConversion"/>
  </si>
  <si>
    <t>许烨华</t>
    <phoneticPr fontId="1" type="noConversion"/>
  </si>
  <si>
    <t>中式排名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</si>
</sst>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G7" sqref="G7"/>
    </sheetView>
  </sheetViews>
  <sheetFormatPr defaultRowHeight="13.8" x14ac:dyDescent="0.25"/>
  <cols>
    <col min="5" max="5" width="9.109375" customWidth="1"/>
    <col min="12" max="12" width="9.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3" t="s">
        <v>14</v>
      </c>
      <c r="E1" s="3" t="s">
        <v>27</v>
      </c>
    </row>
    <row r="2" spans="1:6" x14ac:dyDescent="0.25">
      <c r="A2" s="2" t="s">
        <v>6</v>
      </c>
      <c r="B2" s="2" t="s">
        <v>7</v>
      </c>
      <c r="C2" s="2">
        <v>93</v>
      </c>
      <c r="D2" s="2">
        <f>RANK(C2,$C$2:$C$9,0)</f>
        <v>1</v>
      </c>
      <c r="E2" s="2">
        <f>_xlfn.RANK.AVG($C2,$C$2:$C$9,0)</f>
        <v>1</v>
      </c>
      <c r="F2" s="2">
        <f>_xlfn.RANK.EQ($C2,$C$2:$C$9,0)</f>
        <v>1</v>
      </c>
    </row>
    <row r="3" spans="1:6" x14ac:dyDescent="0.25">
      <c r="A3" s="2" t="s">
        <v>5</v>
      </c>
      <c r="B3" s="2" t="s">
        <v>4</v>
      </c>
      <c r="C3" s="2">
        <v>81</v>
      </c>
      <c r="D3" s="2">
        <f t="shared" ref="D3:D9" si="0">RANK(C3,$C$2:$C$9,0)</f>
        <v>2</v>
      </c>
      <c r="E3" s="2">
        <f t="shared" ref="E3:E9" si="1">_xlfn.RANK.AVG($C3,$C$2:$C$9,0)</f>
        <v>2.5</v>
      </c>
      <c r="F3" s="2">
        <f t="shared" ref="F3:F9" si="2">_xlfn.RANK.EQ($C3,$C$2:$C$9,0)</f>
        <v>2</v>
      </c>
    </row>
    <row r="4" spans="1:6" x14ac:dyDescent="0.25">
      <c r="A4" s="2" t="s">
        <v>8</v>
      </c>
      <c r="B4" s="2" t="s">
        <v>4</v>
      </c>
      <c r="C4" s="2">
        <v>81</v>
      </c>
      <c r="D4" s="2">
        <f t="shared" si="0"/>
        <v>2</v>
      </c>
      <c r="E4" s="2">
        <f t="shared" si="1"/>
        <v>2.5</v>
      </c>
      <c r="F4" s="2">
        <f t="shared" si="2"/>
        <v>2</v>
      </c>
    </row>
    <row r="5" spans="1:6" x14ac:dyDescent="0.25">
      <c r="A5" s="2" t="s">
        <v>3</v>
      </c>
      <c r="B5" s="2" t="s">
        <v>4</v>
      </c>
      <c r="C5" s="2">
        <v>72</v>
      </c>
      <c r="D5" s="2">
        <f t="shared" si="0"/>
        <v>4</v>
      </c>
      <c r="E5" s="2">
        <f t="shared" si="1"/>
        <v>4</v>
      </c>
      <c r="F5" s="2">
        <f t="shared" si="2"/>
        <v>4</v>
      </c>
    </row>
    <row r="6" spans="1:6" x14ac:dyDescent="0.25">
      <c r="A6" s="2" t="s">
        <v>12</v>
      </c>
      <c r="B6" s="2" t="s">
        <v>13</v>
      </c>
      <c r="C6" s="2">
        <v>67</v>
      </c>
      <c r="D6" s="2">
        <f t="shared" si="0"/>
        <v>5</v>
      </c>
      <c r="E6" s="2">
        <f t="shared" si="1"/>
        <v>6</v>
      </c>
      <c r="F6" s="2">
        <f t="shared" si="2"/>
        <v>5</v>
      </c>
    </row>
    <row r="7" spans="1:6" x14ac:dyDescent="0.25">
      <c r="A7" s="2" t="s">
        <v>9</v>
      </c>
      <c r="B7" s="2" t="s">
        <v>4</v>
      </c>
      <c r="C7" s="2">
        <v>67</v>
      </c>
      <c r="D7" s="2">
        <f t="shared" si="0"/>
        <v>5</v>
      </c>
      <c r="E7" s="2">
        <f t="shared" si="1"/>
        <v>6</v>
      </c>
      <c r="F7" s="2">
        <f t="shared" si="2"/>
        <v>5</v>
      </c>
    </row>
    <row r="8" spans="1:6" x14ac:dyDescent="0.25">
      <c r="A8" s="2" t="s">
        <v>11</v>
      </c>
      <c r="B8" s="2" t="s">
        <v>13</v>
      </c>
      <c r="C8" s="2">
        <v>67</v>
      </c>
      <c r="D8" s="2">
        <f t="shared" si="0"/>
        <v>5</v>
      </c>
      <c r="E8" s="2">
        <f t="shared" si="1"/>
        <v>6</v>
      </c>
      <c r="F8" s="2">
        <f t="shared" si="2"/>
        <v>5</v>
      </c>
    </row>
    <row r="9" spans="1:6" x14ac:dyDescent="0.25">
      <c r="A9" s="2" t="s">
        <v>10</v>
      </c>
      <c r="B9" s="2" t="s">
        <v>7</v>
      </c>
      <c r="C9" s="2">
        <v>55</v>
      </c>
      <c r="D9" s="2">
        <f t="shared" si="0"/>
        <v>8</v>
      </c>
      <c r="E9" s="2">
        <f t="shared" si="1"/>
        <v>8</v>
      </c>
      <c r="F9" s="2">
        <f t="shared" si="2"/>
        <v>8</v>
      </c>
    </row>
  </sheetData>
  <sortState xmlns:xlrd2="http://schemas.microsoft.com/office/spreadsheetml/2017/richdata2" ref="A2:E9">
    <sortCondition ref="D2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F3" sqref="F3"/>
    </sheetView>
  </sheetViews>
  <sheetFormatPr defaultRowHeight="13.8" x14ac:dyDescent="0.25"/>
  <cols>
    <col min="5" max="5" width="0" hidden="1" customWidth="1"/>
  </cols>
  <sheetData>
    <row r="1" spans="1:5" x14ac:dyDescent="0.25">
      <c r="A1" s="1" t="s">
        <v>15</v>
      </c>
      <c r="B1" s="1" t="s">
        <v>16</v>
      </c>
      <c r="C1" s="1" t="s">
        <v>21</v>
      </c>
      <c r="D1" s="3" t="s">
        <v>14</v>
      </c>
      <c r="E1" s="3" t="s">
        <v>27</v>
      </c>
    </row>
    <row r="2" spans="1:5" x14ac:dyDescent="0.25">
      <c r="A2" s="2" t="s">
        <v>17</v>
      </c>
      <c r="B2" s="2" t="s">
        <v>18</v>
      </c>
      <c r="C2" s="2">
        <v>10.1</v>
      </c>
      <c r="D2" s="2">
        <f>RANK($C2,$C$2:$C$9,1)</f>
        <v>1</v>
      </c>
      <c r="E2" s="2">
        <f t="array" ref="E2">SUM(($C$2:$C$9&lt;C2)/COUNTIF($C$2:$C$9,$C$2:$C$9))+1</f>
        <v>1</v>
      </c>
    </row>
    <row r="3" spans="1:5" x14ac:dyDescent="0.25">
      <c r="A3" s="2" t="s">
        <v>22</v>
      </c>
      <c r="B3" s="2" t="s">
        <v>18</v>
      </c>
      <c r="C3" s="2">
        <v>12.6</v>
      </c>
      <c r="D3" s="2">
        <f t="shared" ref="D3:D9" si="0">RANK($C3,$C$2:$C$9,1)</f>
        <v>4</v>
      </c>
      <c r="E3" s="2">
        <f t="array" ref="E3">SUM(($C$2:$C$9&lt;C3)/COUNTIF($C$2:$C$9,$C$2:$C$9))+1</f>
        <v>3</v>
      </c>
    </row>
    <row r="4" spans="1:5" x14ac:dyDescent="0.25">
      <c r="A4" s="2" t="s">
        <v>19</v>
      </c>
      <c r="B4" s="2" t="s">
        <v>18</v>
      </c>
      <c r="C4" s="2">
        <v>13</v>
      </c>
      <c r="D4" s="2">
        <f t="shared" si="0"/>
        <v>6</v>
      </c>
      <c r="E4" s="2">
        <f t="array" ref="E4">SUM(($C$2:$C$9&lt;C4)/COUNTIF($C$2:$C$9,$C$2:$C$9))+1</f>
        <v>4</v>
      </c>
    </row>
    <row r="5" spans="1:5" x14ac:dyDescent="0.25">
      <c r="A5" s="2" t="s">
        <v>23</v>
      </c>
      <c r="B5" s="2" t="s">
        <v>18</v>
      </c>
      <c r="C5" s="2">
        <v>14</v>
      </c>
      <c r="D5" s="2">
        <f t="shared" si="0"/>
        <v>8</v>
      </c>
      <c r="E5" s="2">
        <f t="array" ref="E5">SUM(($C$2:$C$9&lt;C5)/COUNTIF($C$2:$C$9,$C$2:$C$9))+1</f>
        <v>6</v>
      </c>
    </row>
    <row r="6" spans="1:5" x14ac:dyDescent="0.25">
      <c r="A6" s="2" t="s">
        <v>24</v>
      </c>
      <c r="B6" s="2" t="s">
        <v>18</v>
      </c>
      <c r="C6" s="2">
        <v>10.4</v>
      </c>
      <c r="D6" s="2">
        <f t="shared" si="0"/>
        <v>2</v>
      </c>
      <c r="E6" s="2">
        <f t="array" ref="E6">SUM(($C$2:$C$9&lt;C6)/COUNTIF($C$2:$C$9,$C$2:$C$9))+1</f>
        <v>2</v>
      </c>
    </row>
    <row r="7" spans="1:5" x14ac:dyDescent="0.25">
      <c r="A7" s="2" t="s">
        <v>25</v>
      </c>
      <c r="B7" s="2" t="s">
        <v>18</v>
      </c>
      <c r="C7" s="2">
        <v>10.4</v>
      </c>
      <c r="D7" s="2">
        <f t="shared" si="0"/>
        <v>2</v>
      </c>
      <c r="E7" s="2">
        <f t="array" ref="E7">SUM(($C$2:$C$9&lt;C7)/COUNTIF($C$2:$C$9,$C$2:$C$9))+1</f>
        <v>2</v>
      </c>
    </row>
    <row r="8" spans="1:5" x14ac:dyDescent="0.25">
      <c r="A8" s="2" t="s">
        <v>26</v>
      </c>
      <c r="B8" s="2" t="s">
        <v>18</v>
      </c>
      <c r="C8" s="2">
        <v>12.6</v>
      </c>
      <c r="D8" s="2">
        <f t="shared" si="0"/>
        <v>4</v>
      </c>
      <c r="E8" s="2">
        <f t="array" ref="E8">SUM(($C$2:$C$9&lt;C8)/COUNTIF($C$2:$C$9,$C$2:$C$9))+1</f>
        <v>3</v>
      </c>
    </row>
    <row r="9" spans="1:5" x14ac:dyDescent="0.25">
      <c r="A9" s="2" t="s">
        <v>20</v>
      </c>
      <c r="B9" s="2" t="s">
        <v>18</v>
      </c>
      <c r="C9" s="2">
        <v>13.8</v>
      </c>
      <c r="D9" s="2">
        <f t="shared" si="0"/>
        <v>7</v>
      </c>
      <c r="E9" s="2">
        <f t="array" ref="E9">SUM(($C$2:$C$9&lt;C9)/COUNTIF($C$2:$C$9,$C$2:$C$9))+1</f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2024-10-26T12:28:31Z</dcterms:modified>
</cp:coreProperties>
</file>