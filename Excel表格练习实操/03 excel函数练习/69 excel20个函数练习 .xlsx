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5782\Desktop\数据分析\excel表格操作练习实操\03 excel函数练习\"/>
    </mc:Choice>
  </mc:AlternateContent>
  <xr:revisionPtr revIDLastSave="0" documentId="13_ncr:1_{5ED5480E-3AB3-4646-BF11-5ECCBEF2D6D9}" xr6:coauthVersionLast="47" xr6:coauthVersionMax="47" xr10:uidLastSave="{00000000-0000-0000-0000-000000000000}"/>
  <bookViews>
    <workbookView xWindow="-108" yWindow="-108" windowWidth="23256" windowHeight="12456" firstSheet="17" activeTab="19" xr2:uid="{0FB7E627-9EE0-4A56-A897-174269C5328E}"/>
  </bookViews>
  <sheets>
    <sheet name="1._x0009_IF函数条件判断" sheetId="1" r:id="rId1"/>
    <sheet name="2._x0009_IF多条件判断" sheetId="2" r:id="rId2"/>
    <sheet name="3._x0009_条件求和" sheetId="3" r:id="rId3"/>
    <sheet name="4._x0009_多条件求和" sheetId="4" r:id="rId4"/>
    <sheet name="5._x0009_条件计数" sheetId="5" r:id="rId5"/>
    <sheet name="6._x0009_多条件计数。" sheetId="6" r:id="rId6"/>
    <sheet name="7._x0009_条件查找" sheetId="7" r:id="rId7"/>
    <sheet name="8._x0009_多条件查找" sheetId="8" r:id="rId8"/>
    <sheet name="9._x0009_计算文本算式" sheetId="9" r:id="rId9"/>
    <sheet name="10._x0009_合并多个单元格内容" sheetId="10" r:id="rId10"/>
    <sheet name="11._x0009_合并带格式的单元格内容" sheetId="11" r:id="rId11"/>
    <sheet name="12._x0009_替换部分电话号码" sheetId="13" r:id="rId12"/>
    <sheet name="13._x0009_屏蔽函数公式返回的错误值" sheetId="14" r:id="rId13"/>
    <sheet name="14._x0009_四舍五入函数" sheetId="15" r:id="rId14"/>
    <sheet name="15._x0009_取整的间隔小时数" sheetId="16" r:id="rId15"/>
    <sheet name="16._x0009_日期函数" sheetId="17" r:id="rId16"/>
    <sheet name="17._x0009_index与match函数" sheetId="18" r:id="rId17"/>
    <sheet name="18._x0009_某个日期是星期几" sheetId="19" r:id="rId18"/>
    <sheet name="19._x0009_根据出生年月计算年龄" sheetId="20" r:id="rId19"/>
    <sheet name="20._x0009_从身份证号码中提取性别" sheetId="21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21" l="1"/>
  <c r="B3" i="21"/>
  <c r="C2" i="21"/>
  <c r="B4" i="20"/>
  <c r="B3" i="20"/>
  <c r="B2" i="20"/>
  <c r="C3" i="19"/>
  <c r="H8" i="18"/>
  <c r="G8" i="18"/>
  <c r="G7" i="18"/>
  <c r="H7" i="18"/>
  <c r="C2" i="17"/>
  <c r="H3" i="17"/>
  <c r="G3" i="17"/>
  <c r="F3" i="17"/>
  <c r="C3" i="16"/>
  <c r="B2" i="15"/>
  <c r="D3" i="13"/>
  <c r="D4" i="13"/>
  <c r="D5" i="13"/>
  <c r="D6" i="13"/>
  <c r="D7" i="13"/>
  <c r="D2" i="13"/>
  <c r="C2" i="11"/>
  <c r="B4" i="9"/>
  <c r="B5" i="9"/>
  <c r="C5" i="9"/>
  <c r="C4" i="9"/>
  <c r="C3" i="9"/>
  <c r="C2" i="9"/>
  <c r="G4" i="8" a="1"/>
  <c r="G4" i="8" s="1"/>
  <c r="G3" i="8" a="1"/>
  <c r="G3" i="8" s="1"/>
  <c r="G2" i="8" a="1"/>
  <c r="G2" i="8" s="1"/>
  <c r="F7" i="7" a="1"/>
  <c r="F7" i="7" s="1"/>
  <c r="F6" i="7"/>
  <c r="E3" i="6" a="1"/>
  <c r="E3" i="6" s="1"/>
  <c r="E2" i="6"/>
  <c r="G4" i="5" a="1"/>
  <c r="G4" i="5" s="1"/>
  <c r="G3" i="5"/>
  <c r="G2" i="5"/>
  <c r="H3" i="4"/>
  <c r="H2" i="4"/>
  <c r="G3" i="3"/>
  <c r="F3" i="3" a="1"/>
  <c r="F3" i="3" s="1"/>
  <c r="G2" i="3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3" i="2"/>
  <c r="E6" i="1"/>
  <c r="E7" i="1"/>
  <c r="E8" i="1"/>
  <c r="E9" i="1"/>
  <c r="E10" i="1"/>
  <c r="E11" i="1"/>
  <c r="E12" i="1"/>
  <c r="E13" i="1"/>
  <c r="E14" i="1"/>
  <c r="E15" i="1"/>
  <c r="E16" i="1"/>
  <c r="E4" i="1"/>
  <c r="E5" i="1"/>
  <c r="E3" i="1"/>
  <c r="D2" i="21" l="1"/>
  <c r="B2" i="21"/>
  <c r="C2" i="19"/>
  <c r="K3" i="17"/>
  <c r="H2" i="17"/>
  <c r="G2" i="17"/>
  <c r="F2" i="17"/>
  <c r="D6" i="17"/>
  <c r="A2" i="17"/>
  <c r="E3" i="17" s="1"/>
  <c r="B3" i="16"/>
  <c r="B1" i="15"/>
  <c r="C3" i="14"/>
  <c r="C4" i="14"/>
  <c r="C5" i="14"/>
  <c r="C6" i="14"/>
  <c r="C2" i="14"/>
  <c r="F5" i="7"/>
  <c r="F2" i="5"/>
  <c r="F2" i="3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3" i="2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3" i="1"/>
  <c r="B3" i="9"/>
  <c r="B2" i="9"/>
  <c r="D4" i="17" l="1"/>
  <c r="D5" i="17"/>
  <c r="D2" i="17"/>
  <c r="D3" i="1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<sst xmlns="http://schemas.openxmlformats.org/spreadsheetml/2006/main" count="308" uniqueCount="143">
  <si>
    <t>高三（2）班</t>
    <phoneticPr fontId="2" type="noConversion"/>
  </si>
  <si>
    <t>学号</t>
    <phoneticPr fontId="2" type="noConversion"/>
  </si>
  <si>
    <t>姓名</t>
    <phoneticPr fontId="2" type="noConversion"/>
  </si>
  <si>
    <t>成绩</t>
    <phoneticPr fontId="2" type="noConversion"/>
  </si>
  <si>
    <t>评判</t>
    <phoneticPr fontId="2" type="noConversion"/>
  </si>
  <si>
    <t>陈独秀</t>
    <phoneticPr fontId="2" type="noConversion"/>
  </si>
  <si>
    <t>陈大伟</t>
    <phoneticPr fontId="2" type="noConversion"/>
  </si>
  <si>
    <t>张全蛋</t>
    <phoneticPr fontId="2" type="noConversion"/>
  </si>
  <si>
    <t>李大仁</t>
    <phoneticPr fontId="2" type="noConversion"/>
  </si>
  <si>
    <t>黄翠花</t>
    <phoneticPr fontId="2" type="noConversion"/>
  </si>
  <si>
    <t>杨晓丽</t>
    <phoneticPr fontId="2" type="noConversion"/>
  </si>
  <si>
    <t>杨春丹</t>
    <phoneticPr fontId="2" type="noConversion"/>
  </si>
  <si>
    <t>奥特曼</t>
    <phoneticPr fontId="2" type="noConversion"/>
  </si>
  <si>
    <t>肥猪流</t>
    <phoneticPr fontId="2" type="noConversion"/>
  </si>
  <si>
    <t>慕容西子</t>
    <phoneticPr fontId="2" type="noConversion"/>
  </si>
  <si>
    <t>菲姬</t>
    <phoneticPr fontId="2" type="noConversion"/>
  </si>
  <si>
    <t>欧阳鹰华</t>
    <phoneticPr fontId="2" type="noConversion"/>
  </si>
  <si>
    <t>黎洁珲</t>
    <phoneticPr fontId="2" type="noConversion"/>
  </si>
  <si>
    <t>郑又名</t>
    <phoneticPr fontId="2" type="noConversion"/>
  </si>
  <si>
    <t>序号</t>
    <phoneticPr fontId="2" type="noConversion"/>
  </si>
  <si>
    <t>二班</t>
    <phoneticPr fontId="2" type="noConversion"/>
  </si>
  <si>
    <t>一班</t>
    <phoneticPr fontId="2" type="noConversion"/>
  </si>
  <si>
    <t>班级</t>
    <phoneticPr fontId="2" type="noConversion"/>
  </si>
  <si>
    <t>总成绩</t>
    <phoneticPr fontId="2" type="noConversion"/>
  </si>
  <si>
    <t>部门</t>
    <phoneticPr fontId="2" type="noConversion"/>
  </si>
  <si>
    <t>岗位</t>
    <phoneticPr fontId="2" type="noConversion"/>
  </si>
  <si>
    <t>补助金额</t>
    <phoneticPr fontId="2" type="noConversion"/>
  </si>
  <si>
    <t>生产部门</t>
    <phoneticPr fontId="2" type="noConversion"/>
  </si>
  <si>
    <t>运营部门</t>
    <phoneticPr fontId="2" type="noConversion"/>
  </si>
  <si>
    <t>主操</t>
    <phoneticPr fontId="2" type="noConversion"/>
  </si>
  <si>
    <t>班长</t>
    <phoneticPr fontId="2" type="noConversion"/>
  </si>
  <si>
    <t>店铺</t>
    <phoneticPr fontId="2" type="noConversion"/>
  </si>
  <si>
    <t>销售量</t>
    <phoneticPr fontId="2" type="noConversion"/>
  </si>
  <si>
    <t>美丽华</t>
    <phoneticPr fontId="2" type="noConversion"/>
  </si>
  <si>
    <t>方正兰</t>
    <phoneticPr fontId="2" type="noConversion"/>
  </si>
  <si>
    <t>奥黛丽</t>
    <phoneticPr fontId="2" type="noConversion"/>
  </si>
  <si>
    <t>梅兰芳</t>
    <phoneticPr fontId="2" type="noConversion"/>
  </si>
  <si>
    <t>护舒宝</t>
    <phoneticPr fontId="2" type="noConversion"/>
  </si>
  <si>
    <t>业务数</t>
    <phoneticPr fontId="2" type="noConversion"/>
  </si>
  <si>
    <t>工龄</t>
    <phoneticPr fontId="2" type="noConversion"/>
  </si>
  <si>
    <t>工资</t>
    <phoneticPr fontId="2" type="noConversion"/>
  </si>
  <si>
    <t>销售部</t>
    <phoneticPr fontId="2" type="noConversion"/>
  </si>
  <si>
    <t>运营部</t>
    <phoneticPr fontId="2" type="noConversion"/>
  </si>
  <si>
    <t>财务部</t>
    <phoneticPr fontId="2" type="noConversion"/>
  </si>
  <si>
    <t>符合人数</t>
    <phoneticPr fontId="2" type="noConversion"/>
  </si>
  <si>
    <t>职务</t>
    <phoneticPr fontId="2" type="noConversion"/>
  </si>
  <si>
    <t>排版</t>
    <phoneticPr fontId="2" type="noConversion"/>
  </si>
  <si>
    <t>编辑</t>
    <phoneticPr fontId="2" type="noConversion"/>
  </si>
  <si>
    <t>客服</t>
    <phoneticPr fontId="2" type="noConversion"/>
  </si>
  <si>
    <t>活动宣传</t>
    <phoneticPr fontId="2" type="noConversion"/>
  </si>
  <si>
    <t>得分</t>
    <phoneticPr fontId="2" type="noConversion"/>
  </si>
  <si>
    <t>A</t>
    <phoneticPr fontId="2" type="noConversion"/>
  </si>
  <si>
    <t>D</t>
    <phoneticPr fontId="2" type="noConversion"/>
  </si>
  <si>
    <t>B</t>
    <phoneticPr fontId="2" type="noConversion"/>
  </si>
  <si>
    <t>C</t>
    <phoneticPr fontId="2" type="noConversion"/>
  </si>
  <si>
    <t>文本算式</t>
    <phoneticPr fontId="2" type="noConversion"/>
  </si>
  <si>
    <t>1*2*3</t>
    <phoneticPr fontId="2" type="noConversion"/>
  </si>
  <si>
    <t>5/1+3</t>
    <phoneticPr fontId="2" type="noConversion"/>
  </si>
  <si>
    <t>2+3-1</t>
    <phoneticPr fontId="2" type="noConversion"/>
  </si>
  <si>
    <t>籍贯</t>
    <phoneticPr fontId="2" type="noConversion"/>
  </si>
  <si>
    <t>张大仙</t>
    <phoneticPr fontId="2" type="noConversion"/>
  </si>
  <si>
    <t>山东</t>
    <phoneticPr fontId="2" type="noConversion"/>
  </si>
  <si>
    <t>计生部</t>
    <phoneticPr fontId="2" type="noConversion"/>
  </si>
  <si>
    <t>出生日期</t>
    <phoneticPr fontId="2" type="noConversion"/>
  </si>
  <si>
    <t>崔勇远</t>
    <phoneticPr fontId="2" type="noConversion"/>
  </si>
  <si>
    <t>手机号码</t>
    <phoneticPr fontId="2" type="noConversion"/>
  </si>
  <si>
    <t>总金额</t>
    <phoneticPr fontId="2" type="noConversion"/>
  </si>
  <si>
    <t>数量</t>
    <phoneticPr fontId="2" type="noConversion"/>
  </si>
  <si>
    <t>平均价格</t>
    <phoneticPr fontId="2" type="noConversion"/>
  </si>
  <si>
    <t>开始加班</t>
    <phoneticPr fontId="2" type="noConversion"/>
  </si>
  <si>
    <t>结算加班</t>
    <phoneticPr fontId="2" type="noConversion"/>
  </si>
  <si>
    <t>间隔小时</t>
    <phoneticPr fontId="2" type="noConversion"/>
  </si>
  <si>
    <t>TODAY函数</t>
    <phoneticPr fontId="2" type="noConversion"/>
  </si>
  <si>
    <t>NOW函数</t>
    <phoneticPr fontId="2" type="noConversion"/>
  </si>
  <si>
    <t>时间</t>
    <phoneticPr fontId="2" type="noConversion"/>
  </si>
  <si>
    <t>年份</t>
    <phoneticPr fontId="2" type="noConversion"/>
  </si>
  <si>
    <t>月份</t>
    <phoneticPr fontId="2" type="noConversion"/>
  </si>
  <si>
    <t>日期</t>
    <phoneticPr fontId="2" type="noConversion"/>
  </si>
  <si>
    <t>第一个日期</t>
    <phoneticPr fontId="2" type="noConversion"/>
  </si>
  <si>
    <t>第二个日期</t>
    <phoneticPr fontId="2" type="noConversion"/>
  </si>
  <si>
    <t>间隔</t>
    <phoneticPr fontId="2" type="noConversion"/>
  </si>
  <si>
    <t>金额</t>
    <phoneticPr fontId="2" type="noConversion"/>
  </si>
  <si>
    <t>年龄</t>
    <phoneticPr fontId="2" type="noConversion"/>
  </si>
  <si>
    <t>查询</t>
    <phoneticPr fontId="2" type="noConversion"/>
  </si>
  <si>
    <t>一月</t>
    <phoneticPr fontId="2" type="noConversion"/>
  </si>
  <si>
    <t>二月</t>
    <phoneticPr fontId="2" type="noConversion"/>
  </si>
  <si>
    <t>三月</t>
  </si>
  <si>
    <t>四月</t>
  </si>
  <si>
    <t>五月</t>
  </si>
  <si>
    <t>六月</t>
  </si>
  <si>
    <t>七月</t>
  </si>
  <si>
    <t>八月</t>
  </si>
  <si>
    <t>九月</t>
  </si>
  <si>
    <t>十月</t>
  </si>
  <si>
    <t>十一月</t>
  </si>
  <si>
    <t>十二月</t>
  </si>
  <si>
    <t>星期</t>
    <phoneticPr fontId="2" type="noConversion"/>
  </si>
  <si>
    <t>身份证号码</t>
    <phoneticPr fontId="2" type="noConversion"/>
  </si>
  <si>
    <t>440112199204310912</t>
    <phoneticPr fontId="2" type="noConversion"/>
  </si>
  <si>
    <t>E</t>
    <phoneticPr fontId="2" type="noConversion"/>
  </si>
  <si>
    <t>2*5</t>
    <phoneticPr fontId="2" type="noConversion"/>
  </si>
  <si>
    <t>济南</t>
    <phoneticPr fontId="2" type="noConversion"/>
  </si>
  <si>
    <t>广州</t>
    <phoneticPr fontId="2" type="noConversion"/>
  </si>
  <si>
    <t>北京</t>
    <phoneticPr fontId="2" type="noConversion"/>
  </si>
  <si>
    <t>辽宁</t>
    <phoneticPr fontId="2" type="noConversion"/>
  </si>
  <si>
    <t>河南</t>
    <phoneticPr fontId="2" type="noConversion"/>
  </si>
  <si>
    <t>湖南</t>
    <phoneticPr fontId="2" type="noConversion"/>
  </si>
  <si>
    <t>湖北</t>
    <phoneticPr fontId="2" type="noConversion"/>
  </si>
  <si>
    <t>张大仙山东计生部</t>
    <phoneticPr fontId="2" type="noConversion"/>
  </si>
  <si>
    <t>陈大伟济南计生部</t>
  </si>
  <si>
    <t>张全蛋广州计生部</t>
  </si>
  <si>
    <t>李大仁北京计生部</t>
  </si>
  <si>
    <t>黄翠花辽宁计生部</t>
  </si>
  <si>
    <t>杨晓丽河南计生部</t>
  </si>
  <si>
    <t>杨春丹湖南计生部</t>
  </si>
  <si>
    <t>奥特曼湖北计生部</t>
  </si>
  <si>
    <t>1562****823</t>
  </si>
  <si>
    <t>1535****532</t>
  </si>
  <si>
    <t>1591****532</t>
  </si>
  <si>
    <t>1562****533</t>
  </si>
  <si>
    <t>1393****55</t>
  </si>
  <si>
    <t>1262****54</t>
  </si>
  <si>
    <t>班长</t>
  </si>
  <si>
    <t>运营部门</t>
  </si>
  <si>
    <t>陈大伟</t>
  </si>
  <si>
    <t>张全蛋</t>
  </si>
  <si>
    <t>李大仁</t>
  </si>
  <si>
    <t>黄翠花</t>
  </si>
  <si>
    <t>杨晓丽</t>
  </si>
  <si>
    <t>杨春丹</t>
  </si>
  <si>
    <t>奥特曼</t>
  </si>
  <si>
    <t>济南</t>
  </si>
  <si>
    <t>广州</t>
  </si>
  <si>
    <t>北京</t>
  </si>
  <si>
    <t>辽宁</t>
  </si>
  <si>
    <t>河南</t>
  </si>
  <si>
    <t>湖南</t>
  </si>
  <si>
    <t>湖北</t>
  </si>
  <si>
    <t>计生部</t>
  </si>
  <si>
    <t>姓名</t>
  </si>
  <si>
    <t>籍贯</t>
  </si>
  <si>
    <t>部门</t>
  </si>
  <si>
    <t>二月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</si>
</sst>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黑体"/>
      <family val="3"/>
      <charset val="134"/>
    </font>
    <font>
      <sz val="11"/>
      <color theme="0"/>
      <name val="黑体"/>
      <family val="3"/>
      <charset val="134"/>
    </font>
    <font>
      <sz val="11"/>
      <color theme="1" tint="0.14999847407452621"/>
      <name val="黑体"/>
      <family val="3"/>
      <charset val="134"/>
    </font>
    <font>
      <sz val="12"/>
      <color theme="1"/>
      <name val="黑体"/>
      <family val="3"/>
      <charset val="134"/>
    </font>
    <font>
      <sz val="11"/>
      <color theme="1" tint="4.9989318521683403E-2"/>
      <name val="黑体"/>
      <family val="3"/>
      <charset val="134"/>
    </font>
    <font>
      <sz val="11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14" fontId="7" fillId="0" borderId="0" xfId="0" applyNumberFormat="1" applyFont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21" fontId="7" fillId="0" borderId="0" xfId="0" applyNumberFormat="1" applyFont="1">
      <alignment vertical="center"/>
    </xf>
    <xf numFmtId="14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22" fontId="3" fillId="0" borderId="0" xfId="0" applyNumberFormat="1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2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65134-6A7F-4A86-9C0B-8AA1D84560D6}">
  <dimension ref="A1:E16"/>
  <sheetViews>
    <sheetView workbookViewId="0">
      <selection activeCell="F4" sqref="F4"/>
    </sheetView>
  </sheetViews>
  <sheetFormatPr defaultColWidth="19.5546875" defaultRowHeight="25.05" customHeight="1" x14ac:dyDescent="0.25"/>
  <cols>
    <col min="1" max="16384" width="19.5546875" style="3"/>
  </cols>
  <sheetData>
    <row r="1" spans="1:5" ht="27" customHeight="1" x14ac:dyDescent="0.25">
      <c r="A1" s="19" t="s">
        <v>0</v>
      </c>
      <c r="B1" s="19"/>
      <c r="C1" s="19"/>
      <c r="D1" s="19"/>
    </row>
    <row r="2" spans="1:5" ht="15" customHeight="1" x14ac:dyDescent="0.25">
      <c r="A2" s="6" t="s">
        <v>1</v>
      </c>
      <c r="B2" s="6" t="s">
        <v>2</v>
      </c>
      <c r="C2" s="6" t="s">
        <v>3</v>
      </c>
      <c r="D2" s="6" t="s">
        <v>4</v>
      </c>
    </row>
    <row r="3" spans="1:5" ht="25.05" customHeight="1" x14ac:dyDescent="0.25">
      <c r="A3" s="3">
        <v>12005</v>
      </c>
      <c r="B3" s="3" t="s">
        <v>5</v>
      </c>
      <c r="C3" s="3">
        <v>89</v>
      </c>
      <c r="D3" s="3" t="str">
        <f>IF(C3&gt;=60,"及格","不及格")</f>
        <v>及格</v>
      </c>
      <c r="E3" s="3" t="str">
        <f>LOOKUP(C3,{0,60,100},{"不及格","及格"})</f>
        <v>及格</v>
      </c>
    </row>
    <row r="4" spans="1:5" ht="25.05" customHeight="1" x14ac:dyDescent="0.25">
      <c r="A4" s="3">
        <v>12006</v>
      </c>
      <c r="B4" s="3" t="s">
        <v>6</v>
      </c>
      <c r="C4" s="3">
        <v>67</v>
      </c>
      <c r="D4" s="3" t="str">
        <f t="shared" ref="D4:D16" si="0">IF(C4&gt;=60,"及格","不及格")</f>
        <v>及格</v>
      </c>
      <c r="E4" s="3" t="str">
        <f>LOOKUP(C4,{0,60,100},{"不及格","及格"})</f>
        <v>及格</v>
      </c>
    </row>
    <row r="5" spans="1:5" ht="25.05" customHeight="1" x14ac:dyDescent="0.25">
      <c r="A5" s="3">
        <v>12007</v>
      </c>
      <c r="B5" s="7" t="s">
        <v>7</v>
      </c>
      <c r="C5" s="3">
        <v>54</v>
      </c>
      <c r="D5" s="3" t="str">
        <f t="shared" si="0"/>
        <v>不及格</v>
      </c>
      <c r="E5" s="3" t="str">
        <f>LOOKUP(C5,{0,60,100},{"不及格","及格"})</f>
        <v>不及格</v>
      </c>
    </row>
    <row r="6" spans="1:5" ht="25.05" customHeight="1" x14ac:dyDescent="0.25">
      <c r="A6" s="3">
        <v>12008</v>
      </c>
      <c r="B6" s="7" t="s">
        <v>8</v>
      </c>
      <c r="C6" s="3">
        <v>89</v>
      </c>
      <c r="D6" s="3" t="str">
        <f t="shared" si="0"/>
        <v>及格</v>
      </c>
      <c r="E6" s="3" t="str">
        <f>LOOKUP(C6,{0,60,100},{"不及格","及格"})</f>
        <v>及格</v>
      </c>
    </row>
    <row r="7" spans="1:5" ht="25.05" customHeight="1" x14ac:dyDescent="0.25">
      <c r="A7" s="3">
        <v>12009</v>
      </c>
      <c r="B7" s="7" t="s">
        <v>9</v>
      </c>
      <c r="C7" s="3">
        <v>99</v>
      </c>
      <c r="D7" s="3" t="str">
        <f t="shared" si="0"/>
        <v>及格</v>
      </c>
      <c r="E7" s="3" t="str">
        <f>LOOKUP(C7,{0,60,100},{"不及格","及格"})</f>
        <v>及格</v>
      </c>
    </row>
    <row r="8" spans="1:5" ht="25.05" customHeight="1" x14ac:dyDescent="0.25">
      <c r="A8" s="3">
        <v>12010</v>
      </c>
      <c r="B8" s="7" t="s">
        <v>10</v>
      </c>
      <c r="C8" s="3">
        <v>86</v>
      </c>
      <c r="D8" s="3" t="str">
        <f t="shared" si="0"/>
        <v>及格</v>
      </c>
      <c r="E8" s="3" t="str">
        <f>LOOKUP(C8,{0,60,100},{"不及格","及格"})</f>
        <v>及格</v>
      </c>
    </row>
    <row r="9" spans="1:5" ht="25.05" customHeight="1" x14ac:dyDescent="0.25">
      <c r="A9" s="3">
        <v>12011</v>
      </c>
      <c r="B9" s="7" t="s">
        <v>11</v>
      </c>
      <c r="C9" s="3">
        <v>78</v>
      </c>
      <c r="D9" s="3" t="str">
        <f t="shared" si="0"/>
        <v>及格</v>
      </c>
      <c r="E9" s="3" t="str">
        <f>LOOKUP(C9,{0,60,100},{"不及格","及格"})</f>
        <v>及格</v>
      </c>
    </row>
    <row r="10" spans="1:5" ht="25.05" customHeight="1" x14ac:dyDescent="0.25">
      <c r="A10" s="3">
        <v>12012</v>
      </c>
      <c r="B10" s="7" t="s">
        <v>12</v>
      </c>
      <c r="C10" s="3">
        <v>54</v>
      </c>
      <c r="D10" s="3" t="str">
        <f t="shared" si="0"/>
        <v>不及格</v>
      </c>
      <c r="E10" s="3" t="str">
        <f>LOOKUP(C10,{0,60,100},{"不及格","及格"})</f>
        <v>不及格</v>
      </c>
    </row>
    <row r="11" spans="1:5" ht="25.05" customHeight="1" x14ac:dyDescent="0.25">
      <c r="A11" s="3">
        <v>12013</v>
      </c>
      <c r="B11" s="7" t="s">
        <v>13</v>
      </c>
      <c r="C11" s="3">
        <v>68</v>
      </c>
      <c r="D11" s="3" t="str">
        <f t="shared" si="0"/>
        <v>及格</v>
      </c>
      <c r="E11" s="3" t="str">
        <f>LOOKUP(C11,{0,60,100},{"不及格","及格"})</f>
        <v>及格</v>
      </c>
    </row>
    <row r="12" spans="1:5" ht="25.05" customHeight="1" x14ac:dyDescent="0.25">
      <c r="A12" s="3">
        <v>12014</v>
      </c>
      <c r="B12" s="7" t="s">
        <v>14</v>
      </c>
      <c r="C12" s="3">
        <v>46</v>
      </c>
      <c r="D12" s="3" t="str">
        <f t="shared" si="0"/>
        <v>不及格</v>
      </c>
      <c r="E12" s="3" t="str">
        <f>LOOKUP(C12,{0,60,100},{"不及格","及格"})</f>
        <v>不及格</v>
      </c>
    </row>
    <row r="13" spans="1:5" ht="25.05" customHeight="1" x14ac:dyDescent="0.25">
      <c r="A13" s="3">
        <v>12015</v>
      </c>
      <c r="B13" s="7" t="s">
        <v>15</v>
      </c>
      <c r="C13" s="3">
        <v>78</v>
      </c>
      <c r="D13" s="3" t="str">
        <f t="shared" si="0"/>
        <v>及格</v>
      </c>
      <c r="E13" s="3" t="str">
        <f>LOOKUP(C13,{0,60,100},{"不及格","及格"})</f>
        <v>及格</v>
      </c>
    </row>
    <row r="14" spans="1:5" ht="25.05" customHeight="1" x14ac:dyDescent="0.25">
      <c r="A14" s="3">
        <v>12016</v>
      </c>
      <c r="B14" s="7" t="s">
        <v>16</v>
      </c>
      <c r="C14" s="3">
        <v>97</v>
      </c>
      <c r="D14" s="3" t="str">
        <f t="shared" si="0"/>
        <v>及格</v>
      </c>
      <c r="E14" s="3" t="str">
        <f>LOOKUP(C14,{0,60,100},{"不及格","及格"})</f>
        <v>及格</v>
      </c>
    </row>
    <row r="15" spans="1:5" ht="25.05" customHeight="1" x14ac:dyDescent="0.25">
      <c r="A15" s="3">
        <v>12017</v>
      </c>
      <c r="B15" s="3" t="s">
        <v>17</v>
      </c>
      <c r="C15" s="3">
        <v>57</v>
      </c>
      <c r="D15" s="3" t="str">
        <f t="shared" si="0"/>
        <v>不及格</v>
      </c>
      <c r="E15" s="3" t="str">
        <f>LOOKUP(C15,{0,60,100},{"不及格","及格"})</f>
        <v>不及格</v>
      </c>
    </row>
    <row r="16" spans="1:5" ht="25.05" customHeight="1" x14ac:dyDescent="0.25">
      <c r="A16" s="3">
        <v>12018</v>
      </c>
      <c r="B16" s="3" t="s">
        <v>18</v>
      </c>
      <c r="C16" s="3">
        <v>86</v>
      </c>
      <c r="D16" s="3" t="str">
        <f t="shared" si="0"/>
        <v>及格</v>
      </c>
      <c r="E16" s="3" t="str">
        <f>LOOKUP(C16,{0,60,100},{"不及格","及格"})</f>
        <v>及格</v>
      </c>
    </row>
  </sheetData>
  <mergeCells count="1">
    <mergeCell ref="A1:D1"/>
  </mergeCells>
  <phoneticPr fontId="2" type="noConversion"/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C7B65-4A62-4A07-AFBB-8FF51D7F3F91}">
  <dimension ref="A1:E16"/>
  <sheetViews>
    <sheetView workbookViewId="0">
      <selection activeCell="F5" sqref="F5"/>
    </sheetView>
  </sheetViews>
  <sheetFormatPr defaultColWidth="19.5546875" defaultRowHeight="25.05" customHeight="1" x14ac:dyDescent="0.25"/>
  <cols>
    <col min="1" max="16384" width="19.5546875" style="3"/>
  </cols>
  <sheetData>
    <row r="1" spans="1:5" ht="27" customHeight="1" x14ac:dyDescent="0.25">
      <c r="A1" s="19" t="s">
        <v>0</v>
      </c>
      <c r="B1" s="19"/>
      <c r="C1" s="19"/>
      <c r="D1" s="19"/>
    </row>
    <row r="2" spans="1:5" ht="15" customHeight="1" x14ac:dyDescent="0.25">
      <c r="A2" s="6" t="s">
        <v>1</v>
      </c>
      <c r="B2" s="6" t="s">
        <v>2</v>
      </c>
      <c r="C2" s="6" t="s">
        <v>3</v>
      </c>
      <c r="D2" s="6" t="s">
        <v>4</v>
      </c>
    </row>
    <row r="3" spans="1:5" ht="25.05" customHeight="1" x14ac:dyDescent="0.25">
      <c r="A3" s="3">
        <v>12005</v>
      </c>
      <c r="B3" s="3" t="s">
        <v>5</v>
      </c>
      <c r="C3" s="3">
        <v>89</v>
      </c>
      <c r="D3" s="3" t="str">
        <f>IF(C3&gt;=85,"优秀",IF(C3&gt;=60,"及格","不及格"))</f>
        <v>优秀</v>
      </c>
      <c r="E3" s="3" t="str">
        <f>IF($C3&lt;60,"不及格",IF($C3&lt;80,"及格","优秀"))</f>
        <v>优秀</v>
      </c>
    </row>
    <row r="4" spans="1:5" ht="25.05" customHeight="1" x14ac:dyDescent="0.25">
      <c r="A4" s="3">
        <v>12006</v>
      </c>
      <c r="B4" s="3" t="s">
        <v>6</v>
      </c>
      <c r="C4" s="3">
        <v>67</v>
      </c>
      <c r="D4" s="3" t="str">
        <f t="shared" ref="D4:D16" si="0">IF(C4&gt;=85,"优秀",IF(C4&gt;=60,"及格","不及格"))</f>
        <v>及格</v>
      </c>
      <c r="E4" s="3" t="str">
        <f t="shared" ref="E4:E16" si="1">IF($C4&lt;60,"不及格",IF($C4&lt;80,"及格","优秀"))</f>
        <v>及格</v>
      </c>
    </row>
    <row r="5" spans="1:5" ht="25.05" customHeight="1" x14ac:dyDescent="0.25">
      <c r="A5" s="3">
        <v>12007</v>
      </c>
      <c r="B5" s="7" t="s">
        <v>7</v>
      </c>
      <c r="C5" s="3">
        <v>54</v>
      </c>
      <c r="D5" s="3" t="str">
        <f t="shared" si="0"/>
        <v>不及格</v>
      </c>
      <c r="E5" s="3" t="str">
        <f t="shared" si="1"/>
        <v>不及格</v>
      </c>
    </row>
    <row r="6" spans="1:5" ht="25.05" customHeight="1" x14ac:dyDescent="0.25">
      <c r="A6" s="3">
        <v>12008</v>
      </c>
      <c r="B6" s="7" t="s">
        <v>8</v>
      </c>
      <c r="C6" s="3">
        <v>89</v>
      </c>
      <c r="D6" s="3" t="str">
        <f t="shared" si="0"/>
        <v>优秀</v>
      </c>
      <c r="E6" s="3" t="str">
        <f t="shared" si="1"/>
        <v>优秀</v>
      </c>
    </row>
    <row r="7" spans="1:5" ht="25.05" customHeight="1" x14ac:dyDescent="0.25">
      <c r="A7" s="3">
        <v>12009</v>
      </c>
      <c r="B7" s="7" t="s">
        <v>9</v>
      </c>
      <c r="C7" s="3">
        <v>99</v>
      </c>
      <c r="D7" s="3" t="str">
        <f t="shared" si="0"/>
        <v>优秀</v>
      </c>
      <c r="E7" s="3" t="str">
        <f t="shared" si="1"/>
        <v>优秀</v>
      </c>
    </row>
    <row r="8" spans="1:5" ht="25.05" customHeight="1" x14ac:dyDescent="0.25">
      <c r="A8" s="3">
        <v>12010</v>
      </c>
      <c r="B8" s="7" t="s">
        <v>10</v>
      </c>
      <c r="C8" s="3">
        <v>86</v>
      </c>
      <c r="D8" s="3" t="str">
        <f t="shared" si="0"/>
        <v>优秀</v>
      </c>
      <c r="E8" s="3" t="str">
        <f t="shared" si="1"/>
        <v>优秀</v>
      </c>
    </row>
    <row r="9" spans="1:5" ht="25.05" customHeight="1" x14ac:dyDescent="0.25">
      <c r="A9" s="3">
        <v>12011</v>
      </c>
      <c r="B9" s="7" t="s">
        <v>11</v>
      </c>
      <c r="C9" s="3">
        <v>78</v>
      </c>
      <c r="D9" s="3" t="str">
        <f t="shared" si="0"/>
        <v>及格</v>
      </c>
      <c r="E9" s="3" t="str">
        <f t="shared" si="1"/>
        <v>及格</v>
      </c>
    </row>
    <row r="10" spans="1:5" ht="25.05" customHeight="1" x14ac:dyDescent="0.25">
      <c r="A10" s="3">
        <v>12012</v>
      </c>
      <c r="B10" s="7" t="s">
        <v>12</v>
      </c>
      <c r="C10" s="3">
        <v>54</v>
      </c>
      <c r="D10" s="3" t="str">
        <f t="shared" si="0"/>
        <v>不及格</v>
      </c>
      <c r="E10" s="3" t="str">
        <f t="shared" si="1"/>
        <v>不及格</v>
      </c>
    </row>
    <row r="11" spans="1:5" ht="25.05" customHeight="1" x14ac:dyDescent="0.25">
      <c r="A11" s="3">
        <v>12013</v>
      </c>
      <c r="B11" s="7" t="s">
        <v>13</v>
      </c>
      <c r="C11" s="3">
        <v>68</v>
      </c>
      <c r="D11" s="3" t="str">
        <f t="shared" si="0"/>
        <v>及格</v>
      </c>
      <c r="E11" s="3" t="str">
        <f t="shared" si="1"/>
        <v>及格</v>
      </c>
    </row>
    <row r="12" spans="1:5" ht="25.05" customHeight="1" x14ac:dyDescent="0.25">
      <c r="A12" s="3">
        <v>12014</v>
      </c>
      <c r="B12" s="7" t="s">
        <v>14</v>
      </c>
      <c r="C12" s="3">
        <v>46</v>
      </c>
      <c r="D12" s="3" t="str">
        <f t="shared" si="0"/>
        <v>不及格</v>
      </c>
      <c r="E12" s="3" t="str">
        <f t="shared" si="1"/>
        <v>不及格</v>
      </c>
    </row>
    <row r="13" spans="1:5" ht="25.05" customHeight="1" x14ac:dyDescent="0.25">
      <c r="A13" s="3">
        <v>12015</v>
      </c>
      <c r="B13" s="7" t="s">
        <v>15</v>
      </c>
      <c r="C13" s="3">
        <v>78</v>
      </c>
      <c r="D13" s="3" t="str">
        <f t="shared" si="0"/>
        <v>及格</v>
      </c>
      <c r="E13" s="3" t="str">
        <f t="shared" si="1"/>
        <v>及格</v>
      </c>
    </row>
    <row r="14" spans="1:5" ht="25.05" customHeight="1" x14ac:dyDescent="0.25">
      <c r="A14" s="3">
        <v>12016</v>
      </c>
      <c r="B14" s="7" t="s">
        <v>16</v>
      </c>
      <c r="C14" s="3">
        <v>97</v>
      </c>
      <c r="D14" s="3" t="str">
        <f t="shared" si="0"/>
        <v>优秀</v>
      </c>
      <c r="E14" s="3" t="str">
        <f t="shared" si="1"/>
        <v>优秀</v>
      </c>
    </row>
    <row r="15" spans="1:5" ht="25.05" customHeight="1" x14ac:dyDescent="0.25">
      <c r="A15" s="3">
        <v>12017</v>
      </c>
      <c r="B15" s="3" t="s">
        <v>17</v>
      </c>
      <c r="C15" s="3">
        <v>57</v>
      </c>
      <c r="D15" s="3" t="str">
        <f t="shared" si="0"/>
        <v>不及格</v>
      </c>
      <c r="E15" s="3" t="str">
        <f t="shared" si="1"/>
        <v>不及格</v>
      </c>
    </row>
    <row r="16" spans="1:5" ht="25.05" customHeight="1" x14ac:dyDescent="0.25">
      <c r="A16" s="3">
        <v>12018</v>
      </c>
      <c r="B16" s="3" t="s">
        <v>18</v>
      </c>
      <c r="C16" s="3">
        <v>86</v>
      </c>
      <c r="D16" s="3" t="str">
        <f t="shared" si="0"/>
        <v>优秀</v>
      </c>
      <c r="E16" s="3" t="str">
        <f t="shared" si="1"/>
        <v>优秀</v>
      </c>
    </row>
  </sheetData>
  <mergeCells count="1">
    <mergeCell ref="A1:D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D8491-0228-4AA8-AA27-DAD3F0E9B325}">
  <dimension ref="A1:G5"/>
  <sheetViews>
    <sheetView zoomScale="115" zoomScaleNormal="115" workbookViewId="0">
      <selection activeCell="G5" sqref="G5"/>
    </sheetView>
  </sheetViews>
  <sheetFormatPr defaultColWidth="15.5546875" defaultRowHeight="25.05" customHeight="1" x14ac:dyDescent="0.25"/>
  <cols>
    <col min="1" max="16384" width="15.5546875" style="3"/>
  </cols>
  <sheetData>
    <row r="1" spans="1:7" s="5" customFormat="1" ht="25.05" customHeight="1" x14ac:dyDescent="0.25">
      <c r="A1" s="4"/>
      <c r="C1" s="4" t="s">
        <v>22</v>
      </c>
      <c r="D1" s="4" t="s">
        <v>3</v>
      </c>
      <c r="E1" s="4" t="s">
        <v>22</v>
      </c>
      <c r="F1" s="4" t="s">
        <v>23</v>
      </c>
    </row>
    <row r="2" spans="1:7" ht="25.05" customHeight="1" x14ac:dyDescent="0.25">
      <c r="C2" s="3" t="s">
        <v>21</v>
      </c>
      <c r="D2" s="3">
        <v>35</v>
      </c>
      <c r="E2" s="3" t="s">
        <v>21</v>
      </c>
      <c r="F2" s="3">
        <f>SUMIF(C2:C5,E2,D2:D5)</f>
        <v>123</v>
      </c>
      <c r="G2" s="3">
        <f>SUMIF(C2:C5,C2,D2:D5)</f>
        <v>123</v>
      </c>
    </row>
    <row r="3" spans="1:7" ht="25.05" customHeight="1" x14ac:dyDescent="0.25">
      <c r="C3" s="3" t="s">
        <v>20</v>
      </c>
      <c r="D3" s="3">
        <v>46</v>
      </c>
      <c r="F3" s="3" cm="1">
        <f t="array" ref="F3">SUM((C2:C5=C2)*D2:D5)</f>
        <v>123</v>
      </c>
      <c r="G3" s="3">
        <f>SUMIFS(D2:D5,C2:C5,C2)</f>
        <v>123</v>
      </c>
    </row>
    <row r="4" spans="1:7" ht="25.05" customHeight="1" x14ac:dyDescent="0.25">
      <c r="C4" s="3" t="s">
        <v>21</v>
      </c>
      <c r="D4" s="3">
        <v>88</v>
      </c>
    </row>
    <row r="5" spans="1:7" ht="25.05" customHeight="1" x14ac:dyDescent="0.25">
      <c r="C5" s="3" t="s">
        <v>20</v>
      </c>
      <c r="D5" s="3">
        <v>67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3C5E0-1846-4477-B0FB-18A6A8289345}">
  <dimension ref="A1:H9"/>
  <sheetViews>
    <sheetView zoomScale="145" zoomScaleNormal="145" workbookViewId="0">
      <selection activeCell="G4" sqref="G4"/>
    </sheetView>
  </sheetViews>
  <sheetFormatPr defaultColWidth="14.6640625" defaultRowHeight="25.05" customHeight="1" x14ac:dyDescent="0.25"/>
  <cols>
    <col min="1" max="16384" width="14.6640625" style="3"/>
  </cols>
  <sheetData>
    <row r="1" spans="1:8" ht="25.05" customHeight="1" x14ac:dyDescent="0.25">
      <c r="A1" s="4" t="s">
        <v>2</v>
      </c>
      <c r="B1" s="4" t="s">
        <v>24</v>
      </c>
      <c r="C1" s="4" t="s">
        <v>25</v>
      </c>
      <c r="D1" s="4" t="s">
        <v>26</v>
      </c>
      <c r="E1" s="4"/>
      <c r="F1" s="4" t="s">
        <v>24</v>
      </c>
      <c r="G1" s="4" t="s">
        <v>25</v>
      </c>
      <c r="H1" s="4" t="s">
        <v>26</v>
      </c>
    </row>
    <row r="2" spans="1:8" ht="25.05" customHeight="1" x14ac:dyDescent="0.25">
      <c r="A2" s="3" t="s">
        <v>5</v>
      </c>
      <c r="B2" s="3" t="s">
        <v>27</v>
      </c>
      <c r="C2" s="3" t="s">
        <v>29</v>
      </c>
      <c r="D2" s="3">
        <v>2000</v>
      </c>
      <c r="F2" s="3" t="s">
        <v>123</v>
      </c>
      <c r="G2" s="3" t="s">
        <v>122</v>
      </c>
      <c r="H2" s="3">
        <f>SUMIFS(D2:D9,B2:B9,F2,C2:C9,G2)</f>
        <v>6000</v>
      </c>
    </row>
    <row r="3" spans="1:8" ht="25.05" customHeight="1" x14ac:dyDescent="0.25">
      <c r="A3" s="3" t="s">
        <v>6</v>
      </c>
      <c r="B3" s="3" t="s">
        <v>28</v>
      </c>
      <c r="C3" s="3" t="s">
        <v>30</v>
      </c>
      <c r="D3" s="3">
        <v>3000</v>
      </c>
      <c r="H3" s="3">
        <f>SUMIFS($D$2:$D$9,$B$2:$B$9,F2,$C$2:$C$9,G2)</f>
        <v>6000</v>
      </c>
    </row>
    <row r="4" spans="1:8" ht="25.05" customHeight="1" x14ac:dyDescent="0.25">
      <c r="A4" s="7" t="s">
        <v>7</v>
      </c>
      <c r="B4" s="3" t="s">
        <v>27</v>
      </c>
      <c r="C4" s="3" t="s">
        <v>29</v>
      </c>
      <c r="D4" s="3">
        <v>2000</v>
      </c>
    </row>
    <row r="5" spans="1:8" ht="25.05" customHeight="1" x14ac:dyDescent="0.25">
      <c r="A5" s="7" t="s">
        <v>8</v>
      </c>
      <c r="B5" s="3" t="s">
        <v>28</v>
      </c>
      <c r="C5" s="3" t="s">
        <v>30</v>
      </c>
      <c r="D5" s="3">
        <v>3000</v>
      </c>
    </row>
    <row r="6" spans="1:8" ht="25.05" customHeight="1" x14ac:dyDescent="0.25">
      <c r="A6" s="7" t="s">
        <v>9</v>
      </c>
      <c r="B6" s="3" t="s">
        <v>28</v>
      </c>
      <c r="C6" s="3" t="s">
        <v>29</v>
      </c>
      <c r="D6" s="3">
        <v>2000</v>
      </c>
    </row>
    <row r="7" spans="1:8" ht="25.05" customHeight="1" x14ac:dyDescent="0.25">
      <c r="A7" s="7" t="s">
        <v>10</v>
      </c>
      <c r="B7" s="3" t="s">
        <v>27</v>
      </c>
      <c r="C7" s="3" t="s">
        <v>30</v>
      </c>
      <c r="D7" s="3">
        <v>3000</v>
      </c>
    </row>
    <row r="8" spans="1:8" ht="25.05" customHeight="1" x14ac:dyDescent="0.25">
      <c r="A8" s="7" t="s">
        <v>11</v>
      </c>
      <c r="B8" s="3" t="s">
        <v>28</v>
      </c>
      <c r="C8" s="3" t="s">
        <v>29</v>
      </c>
      <c r="D8" s="3">
        <v>2000</v>
      </c>
    </row>
    <row r="9" spans="1:8" ht="25.05" customHeight="1" x14ac:dyDescent="0.25">
      <c r="A9" s="7" t="s">
        <v>12</v>
      </c>
      <c r="B9" s="3" t="s">
        <v>27</v>
      </c>
      <c r="C9" s="3" t="s">
        <v>30</v>
      </c>
      <c r="D9" s="3">
        <v>3000</v>
      </c>
    </row>
  </sheetData>
  <phoneticPr fontId="2" type="noConversion"/>
  <dataValidations count="2">
    <dataValidation type="list" allowBlank="1" showInputMessage="1" showErrorMessage="1" sqref="F2" xr:uid="{C45CC60F-6975-4E6F-BABC-504C128B9830}">
      <formula1>$B$2:$B$9</formula1>
    </dataValidation>
    <dataValidation type="list" allowBlank="1" showInputMessage="1" showErrorMessage="1" sqref="G2" xr:uid="{A7B3ABF9-263A-42ED-8BC0-EEF56458A575}">
      <formula1>$C$2:$C$9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86745-2709-471F-BD51-0072548C04FD}">
  <dimension ref="A1:G12"/>
  <sheetViews>
    <sheetView zoomScale="145" zoomScaleNormal="145" workbookViewId="0">
      <selection activeCell="G5" sqref="G5"/>
    </sheetView>
  </sheetViews>
  <sheetFormatPr defaultColWidth="14.33203125" defaultRowHeight="25.05" customHeight="1" x14ac:dyDescent="0.25"/>
  <cols>
    <col min="1" max="16384" width="14.33203125" style="3"/>
  </cols>
  <sheetData>
    <row r="1" spans="1:7" ht="25.05" customHeight="1" x14ac:dyDescent="0.25">
      <c r="A1" s="4" t="s">
        <v>19</v>
      </c>
      <c r="B1" s="4" t="s">
        <v>31</v>
      </c>
      <c r="C1" s="4" t="s">
        <v>32</v>
      </c>
      <c r="E1" s="4" t="s">
        <v>31</v>
      </c>
      <c r="F1" s="4" t="s">
        <v>38</v>
      </c>
    </row>
    <row r="2" spans="1:7" ht="25.05" customHeight="1" x14ac:dyDescent="0.25">
      <c r="A2" s="3">
        <v>1</v>
      </c>
      <c r="B2" s="3" t="s">
        <v>33</v>
      </c>
      <c r="C2" s="3">
        <v>456</v>
      </c>
      <c r="E2" s="3" t="s">
        <v>33</v>
      </c>
      <c r="F2" s="3">
        <f>COUNTIF(B2:B12,E2)</f>
        <v>3</v>
      </c>
      <c r="G2" s="3">
        <f>COUNTIF($B$2:$B$12,$E$2)</f>
        <v>3</v>
      </c>
    </row>
    <row r="3" spans="1:7" ht="25.05" customHeight="1" x14ac:dyDescent="0.25">
      <c r="A3" s="3">
        <v>2</v>
      </c>
      <c r="B3" s="3" t="s">
        <v>34</v>
      </c>
      <c r="C3" s="3">
        <v>463</v>
      </c>
      <c r="G3" s="3">
        <f>COUNTIFS($B$2:$B$12,$E$2)</f>
        <v>3</v>
      </c>
    </row>
    <row r="4" spans="1:7" ht="25.05" customHeight="1" x14ac:dyDescent="0.25">
      <c r="A4" s="3">
        <v>3</v>
      </c>
      <c r="B4" s="3" t="s">
        <v>35</v>
      </c>
      <c r="C4" s="3">
        <v>546</v>
      </c>
      <c r="G4" s="3" cm="1">
        <f t="array" ref="G4">SUM(($B$1:$B$22=$E$2)*1)</f>
        <v>3</v>
      </c>
    </row>
    <row r="5" spans="1:7" ht="25.05" customHeight="1" x14ac:dyDescent="0.25">
      <c r="A5" s="3">
        <v>4</v>
      </c>
      <c r="B5" s="3" t="s">
        <v>36</v>
      </c>
      <c r="C5" s="3">
        <v>3453</v>
      </c>
    </row>
    <row r="6" spans="1:7" ht="25.05" customHeight="1" x14ac:dyDescent="0.25">
      <c r="A6" s="3">
        <v>5</v>
      </c>
      <c r="B6" s="3" t="s">
        <v>33</v>
      </c>
      <c r="C6" s="3">
        <v>5234</v>
      </c>
    </row>
    <row r="7" spans="1:7" ht="25.05" customHeight="1" x14ac:dyDescent="0.25">
      <c r="A7" s="3">
        <v>6</v>
      </c>
      <c r="B7" s="3" t="s">
        <v>35</v>
      </c>
      <c r="C7" s="3">
        <v>3452</v>
      </c>
    </row>
    <row r="8" spans="1:7" ht="25.05" customHeight="1" x14ac:dyDescent="0.25">
      <c r="A8" s="3">
        <v>7</v>
      </c>
      <c r="B8" s="3" t="s">
        <v>34</v>
      </c>
      <c r="C8" s="3">
        <v>4622</v>
      </c>
    </row>
    <row r="9" spans="1:7" ht="25.05" customHeight="1" x14ac:dyDescent="0.25">
      <c r="A9" s="3">
        <v>8</v>
      </c>
      <c r="B9" s="3" t="s">
        <v>37</v>
      </c>
      <c r="C9" s="3">
        <v>6246</v>
      </c>
    </row>
    <row r="10" spans="1:7" ht="25.05" customHeight="1" x14ac:dyDescent="0.25">
      <c r="A10" s="3">
        <v>9</v>
      </c>
      <c r="B10" s="3" t="s">
        <v>34</v>
      </c>
      <c r="C10" s="3">
        <v>2345</v>
      </c>
    </row>
    <row r="11" spans="1:7" ht="25.05" customHeight="1" x14ac:dyDescent="0.25">
      <c r="A11" s="3">
        <v>10</v>
      </c>
      <c r="B11" s="3" t="s">
        <v>35</v>
      </c>
      <c r="C11" s="3">
        <v>2362</v>
      </c>
    </row>
    <row r="12" spans="1:7" ht="25.05" customHeight="1" x14ac:dyDescent="0.25">
      <c r="A12" s="3">
        <v>11</v>
      </c>
      <c r="B12" s="3" t="s">
        <v>33</v>
      </c>
      <c r="C12" s="3">
        <v>6234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B5B0F-BCBA-4397-B3AA-D0E446F343C4}">
  <dimension ref="A1:F11"/>
  <sheetViews>
    <sheetView zoomScale="145" zoomScaleNormal="145" workbookViewId="0">
      <selection activeCell="F3" sqref="F3"/>
    </sheetView>
  </sheetViews>
  <sheetFormatPr defaultColWidth="16.44140625" defaultRowHeight="25.05" customHeight="1" x14ac:dyDescent="0.25"/>
  <cols>
    <col min="1" max="16384" width="16.44140625" style="8"/>
  </cols>
  <sheetData>
    <row r="1" spans="1:6" ht="25.05" customHeight="1" x14ac:dyDescent="0.25">
      <c r="A1" s="4" t="s">
        <v>2</v>
      </c>
      <c r="B1" s="4" t="s">
        <v>24</v>
      </c>
      <c r="C1" s="4" t="s">
        <v>39</v>
      </c>
      <c r="D1" s="4" t="s">
        <v>40</v>
      </c>
      <c r="E1" s="4" t="s">
        <v>44</v>
      </c>
    </row>
    <row r="2" spans="1:6" ht="25.05" customHeight="1" x14ac:dyDescent="0.25">
      <c r="A2" s="3" t="s">
        <v>5</v>
      </c>
      <c r="B2" s="9" t="s">
        <v>41</v>
      </c>
      <c r="C2" s="9">
        <v>5</v>
      </c>
      <c r="D2" s="9">
        <v>6000</v>
      </c>
      <c r="E2" s="1">
        <f>COUNTIFS(B2:B9,"销售部",C2:C9,"5")</f>
        <v>2</v>
      </c>
      <c r="F2" s="10"/>
    </row>
    <row r="3" spans="1:6" ht="25.05" customHeight="1" x14ac:dyDescent="0.25">
      <c r="A3" s="3" t="s">
        <v>6</v>
      </c>
      <c r="B3" s="9" t="s">
        <v>42</v>
      </c>
      <c r="C3" s="9">
        <v>3</v>
      </c>
      <c r="D3" s="9">
        <v>8000</v>
      </c>
      <c r="E3" s="21" cm="1">
        <f t="array" ref="E3">SUM(($B$2:$B$9=$B$2)*($C$2:$C$9=$C$2)*1)</f>
        <v>2</v>
      </c>
    </row>
    <row r="4" spans="1:6" ht="25.05" customHeight="1" x14ac:dyDescent="0.25">
      <c r="A4" s="7" t="s">
        <v>7</v>
      </c>
      <c r="B4" s="9" t="s">
        <v>41</v>
      </c>
      <c r="C4" s="9">
        <v>4</v>
      </c>
      <c r="D4" s="9">
        <v>6000</v>
      </c>
      <c r="E4" s="21"/>
    </row>
    <row r="5" spans="1:6" ht="25.05" customHeight="1" x14ac:dyDescent="0.25">
      <c r="A5" s="7" t="s">
        <v>8</v>
      </c>
      <c r="B5" s="9" t="s">
        <v>43</v>
      </c>
      <c r="C5" s="9">
        <v>5</v>
      </c>
      <c r="D5" s="9">
        <v>3000</v>
      </c>
      <c r="E5" s="21"/>
    </row>
    <row r="6" spans="1:6" ht="25.05" customHeight="1" x14ac:dyDescent="0.25">
      <c r="A6" s="7" t="s">
        <v>9</v>
      </c>
      <c r="B6" s="9" t="s">
        <v>42</v>
      </c>
      <c r="C6" s="9">
        <v>4</v>
      </c>
      <c r="D6" s="9">
        <v>6000</v>
      </c>
      <c r="E6" s="21"/>
    </row>
    <row r="7" spans="1:6" ht="25.05" customHeight="1" x14ac:dyDescent="0.25">
      <c r="A7" s="7" t="s">
        <v>10</v>
      </c>
      <c r="B7" s="9" t="s">
        <v>43</v>
      </c>
      <c r="C7" s="9">
        <v>5</v>
      </c>
      <c r="D7" s="9">
        <v>8000</v>
      </c>
      <c r="E7" s="21"/>
    </row>
    <row r="8" spans="1:6" ht="25.05" customHeight="1" x14ac:dyDescent="0.25">
      <c r="A8" s="7" t="s">
        <v>11</v>
      </c>
      <c r="B8" s="9" t="s">
        <v>41</v>
      </c>
      <c r="C8" s="9">
        <v>4</v>
      </c>
      <c r="D8" s="9">
        <v>8000</v>
      </c>
      <c r="E8" s="21"/>
    </row>
    <row r="9" spans="1:6" ht="25.05" customHeight="1" x14ac:dyDescent="0.25">
      <c r="A9" s="7" t="s">
        <v>12</v>
      </c>
      <c r="B9" s="9" t="s">
        <v>41</v>
      </c>
      <c r="C9" s="9">
        <v>5</v>
      </c>
      <c r="D9" s="9">
        <v>7000</v>
      </c>
      <c r="E9" s="21"/>
    </row>
    <row r="10" spans="1:6" ht="25.05" customHeight="1" x14ac:dyDescent="0.25">
      <c r="A10" s="7"/>
    </row>
    <row r="11" spans="1:6" ht="25.05" customHeight="1" x14ac:dyDescent="0.25">
      <c r="A11" s="7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68404-4B87-404B-B5C5-078F107BC00C}">
  <dimension ref="A1:F11"/>
  <sheetViews>
    <sheetView zoomScale="145" zoomScaleNormal="145" workbookViewId="0">
      <selection activeCell="F8" sqref="F8"/>
    </sheetView>
  </sheetViews>
  <sheetFormatPr defaultColWidth="17.77734375" defaultRowHeight="25.05" customHeight="1" x14ac:dyDescent="0.25"/>
  <cols>
    <col min="2" max="3" width="17.77734375" style="3"/>
  </cols>
  <sheetData>
    <row r="1" spans="1:6" ht="25.05" customHeight="1" x14ac:dyDescent="0.25">
      <c r="A1" s="4" t="s">
        <v>2</v>
      </c>
      <c r="B1" s="4" t="s">
        <v>25</v>
      </c>
      <c r="C1" s="4" t="s">
        <v>45</v>
      </c>
    </row>
    <row r="2" spans="1:6" ht="25.05" customHeight="1" x14ac:dyDescent="0.25">
      <c r="A2" s="3" t="s">
        <v>5</v>
      </c>
      <c r="B2" s="3" t="s">
        <v>42</v>
      </c>
      <c r="C2" s="3" t="s">
        <v>46</v>
      </c>
    </row>
    <row r="3" spans="1:6" ht="25.05" customHeight="1" x14ac:dyDescent="0.25">
      <c r="A3" s="3" t="s">
        <v>6</v>
      </c>
      <c r="B3" s="3" t="s">
        <v>42</v>
      </c>
      <c r="C3" s="3" t="s">
        <v>46</v>
      </c>
    </row>
    <row r="4" spans="1:6" ht="25.05" customHeight="1" x14ac:dyDescent="0.25">
      <c r="A4" s="7" t="s">
        <v>7</v>
      </c>
      <c r="B4" s="3" t="s">
        <v>42</v>
      </c>
      <c r="C4" s="3" t="s">
        <v>47</v>
      </c>
      <c r="E4" s="4" t="s">
        <v>2</v>
      </c>
      <c r="F4" s="4" t="s">
        <v>24</v>
      </c>
    </row>
    <row r="5" spans="1:6" ht="25.05" customHeight="1" x14ac:dyDescent="0.25">
      <c r="A5" s="7" t="s">
        <v>8</v>
      </c>
      <c r="B5" s="3" t="s">
        <v>42</v>
      </c>
      <c r="C5" s="3" t="s">
        <v>47</v>
      </c>
      <c r="E5" s="3" t="s">
        <v>9</v>
      </c>
      <c r="F5" s="9" t="str">
        <f>VLOOKUP($E$5,$A$2:$B$11,2,0)</f>
        <v>运营部</v>
      </c>
    </row>
    <row r="6" spans="1:6" ht="25.05" customHeight="1" x14ac:dyDescent="0.25">
      <c r="A6" s="7" t="s">
        <v>9</v>
      </c>
      <c r="B6" s="3" t="s">
        <v>42</v>
      </c>
      <c r="C6" s="3" t="s">
        <v>46</v>
      </c>
      <c r="F6" t="str">
        <f>VLOOKUP($E$5,$A$2:$B$11,2,0)</f>
        <v>运营部</v>
      </c>
    </row>
    <row r="7" spans="1:6" ht="25.05" customHeight="1" x14ac:dyDescent="0.25">
      <c r="A7" s="7" t="s">
        <v>10</v>
      </c>
      <c r="B7" s="3" t="s">
        <v>42</v>
      </c>
      <c r="C7" s="3" t="s">
        <v>48</v>
      </c>
      <c r="F7" t="str" cm="1">
        <f t="array" ref="F7">INDEX($A$2:$B$11,MATCH($E$5,$A$2:$A$11,0)+1,2)</f>
        <v>运营部</v>
      </c>
    </row>
    <row r="8" spans="1:6" ht="25.05" customHeight="1" x14ac:dyDescent="0.25">
      <c r="A8" s="7" t="s">
        <v>11</v>
      </c>
      <c r="B8" s="3" t="s">
        <v>42</v>
      </c>
      <c r="C8" s="3" t="s">
        <v>48</v>
      </c>
    </row>
    <row r="9" spans="1:6" ht="25.05" customHeight="1" x14ac:dyDescent="0.25">
      <c r="A9" s="7" t="s">
        <v>12</v>
      </c>
      <c r="B9" s="3" t="s">
        <v>42</v>
      </c>
      <c r="C9" s="3" t="s">
        <v>49</v>
      </c>
    </row>
    <row r="10" spans="1:6" ht="25.05" customHeight="1" x14ac:dyDescent="0.25">
      <c r="A10" s="7" t="s">
        <v>13</v>
      </c>
      <c r="B10" s="3" t="s">
        <v>42</v>
      </c>
      <c r="C10" s="3" t="s">
        <v>49</v>
      </c>
    </row>
    <row r="11" spans="1:6" ht="25.05" customHeight="1" x14ac:dyDescent="0.25">
      <c r="A11" s="7" t="s">
        <v>14</v>
      </c>
      <c r="B11" s="3" t="s">
        <v>42</v>
      </c>
      <c r="C11" s="3" t="s">
        <v>47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BCA7D-DD8D-4196-8DF9-D7BEB0C5C197}">
  <dimension ref="A1:G9"/>
  <sheetViews>
    <sheetView zoomScale="145" zoomScaleNormal="145" workbookViewId="0">
      <selection activeCell="G5" sqref="G5"/>
    </sheetView>
  </sheetViews>
  <sheetFormatPr defaultColWidth="14.6640625" defaultRowHeight="25.05" customHeight="1" x14ac:dyDescent="0.25"/>
  <cols>
    <col min="1" max="16384" width="14.6640625" style="3"/>
  </cols>
  <sheetData>
    <row r="1" spans="1:7" ht="25.05" customHeight="1" x14ac:dyDescent="0.25">
      <c r="A1" s="4" t="s">
        <v>22</v>
      </c>
      <c r="B1" s="4" t="s">
        <v>2</v>
      </c>
      <c r="C1" s="4" t="s">
        <v>50</v>
      </c>
      <c r="E1" s="4" t="s">
        <v>22</v>
      </c>
      <c r="F1" s="4" t="s">
        <v>2</v>
      </c>
      <c r="G1" s="4" t="s">
        <v>50</v>
      </c>
    </row>
    <row r="2" spans="1:7" ht="25.05" customHeight="1" x14ac:dyDescent="0.25">
      <c r="A2" s="3" t="s">
        <v>99</v>
      </c>
      <c r="B2" s="3" t="s">
        <v>5</v>
      </c>
      <c r="C2" s="3">
        <v>82</v>
      </c>
      <c r="E2" s="3" t="s">
        <v>51</v>
      </c>
      <c r="F2" s="3" t="s">
        <v>10</v>
      </c>
      <c r="G2" s="3" cm="1">
        <f t="array" ref="G2">VLOOKUP(E2&amp;F2,IF({1,0},A2:A7&amp;B2:B7,C2:C7),2,0)</f>
        <v>69</v>
      </c>
    </row>
    <row r="3" spans="1:7" ht="25.05" customHeight="1" x14ac:dyDescent="0.25">
      <c r="A3" s="3" t="s">
        <v>52</v>
      </c>
      <c r="B3" s="3" t="s">
        <v>6</v>
      </c>
      <c r="C3" s="3">
        <v>35</v>
      </c>
      <c r="G3" s="3" cm="1">
        <f t="array" ref="G3">SUM(($A$2:$A$7=$E2)*($B$2:$B$7=$F2)*C2:C7)</f>
        <v>69</v>
      </c>
    </row>
    <row r="4" spans="1:7" ht="25.05" customHeight="1" x14ac:dyDescent="0.25">
      <c r="A4" s="3" t="s">
        <v>53</v>
      </c>
      <c r="B4" s="7" t="s">
        <v>7</v>
      </c>
      <c r="C4" s="3">
        <v>89</v>
      </c>
      <c r="G4" s="3" cm="1">
        <f t="array" ref="G4">SUMPRODUCT(($A$2:$A$7=$E$2)*($B$2:$B$7=$F$2)*$C$2:$C$7)</f>
        <v>69</v>
      </c>
    </row>
    <row r="5" spans="1:7" ht="25.05" customHeight="1" x14ac:dyDescent="0.25">
      <c r="A5" s="3" t="s">
        <v>54</v>
      </c>
      <c r="B5" s="7" t="s">
        <v>8</v>
      </c>
      <c r="C5" s="3">
        <v>67</v>
      </c>
    </row>
    <row r="6" spans="1:7" ht="25.05" customHeight="1" x14ac:dyDescent="0.25">
      <c r="A6" s="3" t="s">
        <v>54</v>
      </c>
      <c r="B6" s="7" t="s">
        <v>9</v>
      </c>
      <c r="C6" s="3">
        <v>89</v>
      </c>
    </row>
    <row r="7" spans="1:7" ht="25.05" customHeight="1" x14ac:dyDescent="0.25">
      <c r="A7" s="3" t="s">
        <v>51</v>
      </c>
      <c r="B7" s="7" t="s">
        <v>10</v>
      </c>
      <c r="C7" s="3">
        <v>69</v>
      </c>
    </row>
    <row r="8" spans="1:7" ht="25.05" customHeight="1" x14ac:dyDescent="0.25">
      <c r="B8" s="7"/>
    </row>
    <row r="9" spans="1:7" ht="25.05" customHeight="1" x14ac:dyDescent="0.25">
      <c r="B9" s="7"/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AFA4E-CFC7-4076-AD8D-F8D3F66F5026}">
  <dimension ref="A1:C10"/>
  <sheetViews>
    <sheetView zoomScale="190" zoomScaleNormal="190" workbookViewId="0">
      <selection activeCell="B4" sqref="B4"/>
    </sheetView>
  </sheetViews>
  <sheetFormatPr defaultColWidth="15.77734375" defaultRowHeight="25.05" customHeight="1" x14ac:dyDescent="0.25"/>
  <cols>
    <col min="1" max="1" width="15.77734375" style="3"/>
    <col min="2" max="16384" width="15.77734375" style="1"/>
  </cols>
  <sheetData>
    <row r="1" spans="1:3" ht="25.05" customHeight="1" x14ac:dyDescent="0.25">
      <c r="A1" s="4" t="s">
        <v>55</v>
      </c>
    </row>
    <row r="2" spans="1:3" ht="25.05" customHeight="1" x14ac:dyDescent="0.25">
      <c r="A2" s="9" t="s">
        <v>100</v>
      </c>
      <c r="B2" s="17" t="e">
        <f>计算</f>
        <v>#NAME?</v>
      </c>
      <c r="C2" s="1">
        <f>2*5</f>
        <v>10</v>
      </c>
    </row>
    <row r="3" spans="1:3" ht="25.05" customHeight="1" x14ac:dyDescent="0.25">
      <c r="A3" s="9" t="s">
        <v>56</v>
      </c>
      <c r="B3" s="17" t="e">
        <f>计算</f>
        <v>#NAME?</v>
      </c>
      <c r="C3" s="1">
        <f>1*2*3</f>
        <v>6</v>
      </c>
    </row>
    <row r="4" spans="1:3" ht="25.05" customHeight="1" x14ac:dyDescent="0.25">
      <c r="A4" s="9" t="s">
        <v>57</v>
      </c>
      <c r="B4" s="17" t="str">
        <f>A4</f>
        <v>5/1+3</v>
      </c>
      <c r="C4" s="1">
        <f>5/1+3</f>
        <v>8</v>
      </c>
    </row>
    <row r="5" spans="1:3" ht="25.05" customHeight="1" x14ac:dyDescent="0.25">
      <c r="A5" s="9" t="s">
        <v>58</v>
      </c>
      <c r="B5" s="17" t="e">
        <f>计算</f>
        <v>#NAME?</v>
      </c>
      <c r="C5" s="1">
        <f>2+3-1</f>
        <v>4</v>
      </c>
    </row>
    <row r="6" spans="1:3" ht="25.05" customHeight="1" x14ac:dyDescent="0.25">
      <c r="A6" s="9"/>
    </row>
    <row r="7" spans="1:3" ht="25.05" customHeight="1" x14ac:dyDescent="0.25">
      <c r="A7" s="9"/>
    </row>
    <row r="8" spans="1:3" ht="25.05" customHeight="1" x14ac:dyDescent="0.25">
      <c r="A8" s="9"/>
    </row>
    <row r="9" spans="1:3" ht="25.05" customHeight="1" x14ac:dyDescent="0.25">
      <c r="A9" s="9"/>
    </row>
    <row r="10" spans="1:3" ht="25.05" customHeight="1" x14ac:dyDescent="0.25">
      <c r="A10" s="9"/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D2980-4C07-4F34-B24B-5654AE2550D8}">
  <dimension ref="A1:H9"/>
  <sheetViews>
    <sheetView topLeftCell="E1" zoomScale="175" zoomScaleNormal="175" workbookViewId="0">
      <selection activeCell="I4" sqref="I4"/>
    </sheetView>
  </sheetViews>
  <sheetFormatPr defaultColWidth="15.6640625" defaultRowHeight="25.05" customHeight="1" x14ac:dyDescent="0.25"/>
  <cols>
    <col min="1" max="3" width="15.6640625" style="3"/>
    <col min="4" max="4" width="27.44140625" style="2" customWidth="1"/>
    <col min="5" max="7" width="15.6640625" style="2"/>
    <col min="8" max="8" width="21.21875" style="2" customWidth="1"/>
    <col min="9" max="16384" width="15.6640625" style="2"/>
  </cols>
  <sheetData>
    <row r="1" spans="1:8" ht="25.05" customHeight="1" x14ac:dyDescent="0.25">
      <c r="A1" s="4" t="s">
        <v>2</v>
      </c>
      <c r="B1" s="4" t="s">
        <v>59</v>
      </c>
      <c r="C1" s="4" t="s">
        <v>24</v>
      </c>
      <c r="E1" s="2" t="s">
        <v>139</v>
      </c>
      <c r="F1" s="2" t="s">
        <v>140</v>
      </c>
      <c r="G1" s="2" t="s">
        <v>141</v>
      </c>
    </row>
    <row r="2" spans="1:8" ht="25.05" customHeight="1" x14ac:dyDescent="0.25">
      <c r="A2" s="3" t="s">
        <v>60</v>
      </c>
      <c r="B2" s="3" t="s">
        <v>61</v>
      </c>
      <c r="C2" s="3" t="s">
        <v>62</v>
      </c>
      <c r="D2" s="3" t="s">
        <v>108</v>
      </c>
      <c r="E2" s="2" t="s">
        <v>60</v>
      </c>
      <c r="F2" s="2" t="s">
        <v>61</v>
      </c>
      <c r="G2" s="2" t="s">
        <v>62</v>
      </c>
      <c r="H2" s="3" t="s">
        <v>108</v>
      </c>
    </row>
    <row r="3" spans="1:8" ht="25.05" customHeight="1" x14ac:dyDescent="0.25">
      <c r="A3" s="3" t="s">
        <v>6</v>
      </c>
      <c r="B3" s="3" t="s">
        <v>101</v>
      </c>
      <c r="C3" s="3" t="s">
        <v>62</v>
      </c>
      <c r="D3" s="3" t="s">
        <v>109</v>
      </c>
      <c r="E3" s="2" t="s">
        <v>124</v>
      </c>
      <c r="F3" s="2" t="s">
        <v>131</v>
      </c>
      <c r="G3" s="2" t="s">
        <v>138</v>
      </c>
      <c r="H3" s="3" t="s">
        <v>109</v>
      </c>
    </row>
    <row r="4" spans="1:8" ht="25.05" customHeight="1" x14ac:dyDescent="0.25">
      <c r="A4" s="7" t="s">
        <v>7</v>
      </c>
      <c r="B4" s="3" t="s">
        <v>102</v>
      </c>
      <c r="C4" s="3" t="s">
        <v>62</v>
      </c>
      <c r="D4" s="3" t="s">
        <v>110</v>
      </c>
      <c r="E4" s="2" t="s">
        <v>125</v>
      </c>
      <c r="F4" s="2" t="s">
        <v>132</v>
      </c>
      <c r="G4" s="2" t="s">
        <v>138</v>
      </c>
      <c r="H4" s="3" t="s">
        <v>110</v>
      </c>
    </row>
    <row r="5" spans="1:8" ht="25.05" customHeight="1" x14ac:dyDescent="0.25">
      <c r="A5" s="7" t="s">
        <v>8</v>
      </c>
      <c r="B5" s="3" t="s">
        <v>103</v>
      </c>
      <c r="C5" s="3" t="s">
        <v>62</v>
      </c>
      <c r="D5" s="3" t="s">
        <v>111</v>
      </c>
      <c r="E5" s="2" t="s">
        <v>126</v>
      </c>
      <c r="F5" s="2" t="s">
        <v>133</v>
      </c>
      <c r="G5" s="2" t="s">
        <v>138</v>
      </c>
      <c r="H5" s="3" t="s">
        <v>111</v>
      </c>
    </row>
    <row r="6" spans="1:8" ht="25.05" customHeight="1" x14ac:dyDescent="0.25">
      <c r="A6" s="7" t="s">
        <v>9</v>
      </c>
      <c r="B6" s="3" t="s">
        <v>104</v>
      </c>
      <c r="C6" s="3" t="s">
        <v>62</v>
      </c>
      <c r="D6" s="3" t="s">
        <v>112</v>
      </c>
      <c r="E6" s="2" t="s">
        <v>127</v>
      </c>
      <c r="F6" s="2" t="s">
        <v>134</v>
      </c>
      <c r="G6" s="2" t="s">
        <v>138</v>
      </c>
      <c r="H6" s="3" t="s">
        <v>112</v>
      </c>
    </row>
    <row r="7" spans="1:8" ht="25.05" customHeight="1" x14ac:dyDescent="0.25">
      <c r="A7" s="7" t="s">
        <v>10</v>
      </c>
      <c r="B7" s="3" t="s">
        <v>105</v>
      </c>
      <c r="C7" s="3" t="s">
        <v>62</v>
      </c>
      <c r="D7" s="3" t="s">
        <v>113</v>
      </c>
      <c r="E7" s="2" t="s">
        <v>128</v>
      </c>
      <c r="F7" s="2" t="s">
        <v>135</v>
      </c>
      <c r="G7" s="2" t="s">
        <v>138</v>
      </c>
      <c r="H7" s="3" t="s">
        <v>113</v>
      </c>
    </row>
    <row r="8" spans="1:8" ht="25.05" customHeight="1" x14ac:dyDescent="0.25">
      <c r="A8" s="7" t="s">
        <v>11</v>
      </c>
      <c r="B8" s="3" t="s">
        <v>106</v>
      </c>
      <c r="C8" s="3" t="s">
        <v>62</v>
      </c>
      <c r="D8" s="3" t="s">
        <v>114</v>
      </c>
      <c r="E8" s="2" t="s">
        <v>129</v>
      </c>
      <c r="F8" s="2" t="s">
        <v>136</v>
      </c>
      <c r="G8" s="2" t="s">
        <v>138</v>
      </c>
      <c r="H8" s="3" t="s">
        <v>114</v>
      </c>
    </row>
    <row r="9" spans="1:8" ht="25.05" customHeight="1" x14ac:dyDescent="0.25">
      <c r="A9" s="7" t="s">
        <v>12</v>
      </c>
      <c r="B9" s="3" t="s">
        <v>107</v>
      </c>
      <c r="C9" s="3" t="s">
        <v>62</v>
      </c>
      <c r="D9" s="3" t="s">
        <v>115</v>
      </c>
      <c r="E9" s="2" t="s">
        <v>130</v>
      </c>
      <c r="F9" s="2" t="s">
        <v>137</v>
      </c>
      <c r="G9" s="2" t="s">
        <v>138</v>
      </c>
      <c r="H9" s="3" t="s">
        <v>115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8443B-37FF-4D6C-8CBF-A8E1C6E43C3C}">
  <dimension ref="A1:C9"/>
  <sheetViews>
    <sheetView zoomScale="160" zoomScaleNormal="160" workbookViewId="0">
      <selection activeCell="C3" sqref="C3"/>
    </sheetView>
  </sheetViews>
  <sheetFormatPr defaultColWidth="16.6640625" defaultRowHeight="25.05" customHeight="1" x14ac:dyDescent="0.25"/>
  <cols>
    <col min="1" max="2" width="16.6640625" style="1"/>
    <col min="3" max="3" width="23.21875" customWidth="1"/>
  </cols>
  <sheetData>
    <row r="1" spans="1:3" ht="25.05" customHeight="1" x14ac:dyDescent="0.25">
      <c r="A1" s="4" t="s">
        <v>2</v>
      </c>
      <c r="B1" s="4" t="s">
        <v>63</v>
      </c>
    </row>
    <row r="2" spans="1:3" ht="25.05" customHeight="1" x14ac:dyDescent="0.25">
      <c r="A2" s="9" t="s">
        <v>64</v>
      </c>
      <c r="B2" s="11">
        <v>31888</v>
      </c>
      <c r="C2" t="str">
        <f>A2&amp;TEXT(B2," yyyy年mm月dd日")</f>
        <v>崔勇远 1987年04月21日</v>
      </c>
    </row>
    <row r="3" spans="1:3" ht="25.05" customHeight="1" x14ac:dyDescent="0.25">
      <c r="A3" s="9"/>
      <c r="B3" s="9"/>
    </row>
    <row r="4" spans="1:3" ht="25.05" customHeight="1" x14ac:dyDescent="0.25">
      <c r="A4" s="9"/>
      <c r="B4" s="9"/>
    </row>
    <row r="5" spans="1:3" ht="25.05" customHeight="1" x14ac:dyDescent="0.25">
      <c r="A5" s="9"/>
      <c r="B5" s="9"/>
    </row>
    <row r="6" spans="1:3" ht="25.05" customHeight="1" x14ac:dyDescent="0.25">
      <c r="A6" s="9"/>
      <c r="B6" s="9"/>
    </row>
    <row r="7" spans="1:3" ht="25.05" customHeight="1" x14ac:dyDescent="0.25">
      <c r="A7" s="9"/>
      <c r="B7" s="9"/>
    </row>
    <row r="8" spans="1:3" ht="25.05" customHeight="1" x14ac:dyDescent="0.25">
      <c r="A8" s="9"/>
      <c r="B8" s="9"/>
    </row>
    <row r="9" spans="1:3" ht="25.05" customHeight="1" x14ac:dyDescent="0.25">
      <c r="A9" s="9"/>
      <c r="B9" s="9"/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83EEA-76AA-44EE-A9A9-2CA9A93C41EB}">
  <dimension ref="A1:D7"/>
  <sheetViews>
    <sheetView zoomScale="175" zoomScaleNormal="175" workbookViewId="0">
      <selection activeCell="E2" sqref="E2"/>
    </sheetView>
  </sheetViews>
  <sheetFormatPr defaultColWidth="14.77734375" defaultRowHeight="25.05" customHeight="1" x14ac:dyDescent="0.25"/>
  <cols>
    <col min="1" max="4" width="14.77734375" style="9"/>
    <col min="5" max="16384" width="14.77734375" style="10"/>
  </cols>
  <sheetData>
    <row r="1" spans="1:4" ht="25.05" customHeight="1" x14ac:dyDescent="0.25">
      <c r="A1" s="12"/>
      <c r="B1" s="4" t="s">
        <v>65</v>
      </c>
      <c r="C1" s="12"/>
    </row>
    <row r="2" spans="1:4" ht="25.05" customHeight="1" x14ac:dyDescent="0.25">
      <c r="A2" s="3" t="s">
        <v>5</v>
      </c>
      <c r="B2" s="9">
        <v>15625301823</v>
      </c>
      <c r="C2" s="9" t="s">
        <v>116</v>
      </c>
      <c r="D2" s="9" t="str">
        <f>REPLACE(B2,5,4,"****")</f>
        <v>1562****823</v>
      </c>
    </row>
    <row r="3" spans="1:4" ht="25.05" customHeight="1" x14ac:dyDescent="0.25">
      <c r="A3" s="3" t="s">
        <v>6</v>
      </c>
      <c r="B3" s="9">
        <v>15352235532</v>
      </c>
      <c r="C3" s="9" t="s">
        <v>117</v>
      </c>
      <c r="D3" s="9" t="str">
        <f t="shared" ref="D3:D7" si="0">REPLACE(B3,5,4,"****")</f>
        <v>1535****532</v>
      </c>
    </row>
    <row r="4" spans="1:4" ht="25.05" customHeight="1" x14ac:dyDescent="0.25">
      <c r="A4" s="7" t="s">
        <v>7</v>
      </c>
      <c r="B4" s="9">
        <v>15912421532</v>
      </c>
      <c r="C4" s="9" t="s">
        <v>118</v>
      </c>
      <c r="D4" s="9" t="str">
        <f t="shared" si="0"/>
        <v>1591****532</v>
      </c>
    </row>
    <row r="5" spans="1:4" ht="25.05" customHeight="1" x14ac:dyDescent="0.25">
      <c r="A5" s="7" t="s">
        <v>8</v>
      </c>
      <c r="B5" s="9">
        <v>15625234533</v>
      </c>
      <c r="C5" s="9" t="s">
        <v>119</v>
      </c>
      <c r="D5" s="9" t="str">
        <f t="shared" si="0"/>
        <v>1562****533</v>
      </c>
    </row>
    <row r="6" spans="1:4" ht="25.05" customHeight="1" x14ac:dyDescent="0.25">
      <c r="A6" s="7" t="s">
        <v>9</v>
      </c>
      <c r="B6" s="9">
        <v>1393452455</v>
      </c>
      <c r="C6" s="9" t="s">
        <v>120</v>
      </c>
      <c r="D6" s="9" t="str">
        <f t="shared" si="0"/>
        <v>1393****55</v>
      </c>
    </row>
    <row r="7" spans="1:4" ht="25.05" customHeight="1" x14ac:dyDescent="0.25">
      <c r="A7" s="7" t="s">
        <v>10</v>
      </c>
      <c r="B7" s="9">
        <v>1262323554</v>
      </c>
      <c r="C7" s="9" t="s">
        <v>121</v>
      </c>
      <c r="D7" s="9" t="str">
        <f t="shared" si="0"/>
        <v>1262****54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D499D-A09C-40AF-B630-4CF37EA9E4A9}">
  <dimension ref="A1:D7"/>
  <sheetViews>
    <sheetView workbookViewId="0">
      <selection activeCell="C7" sqref="C7"/>
    </sheetView>
  </sheetViews>
  <sheetFormatPr defaultColWidth="15.6640625" defaultRowHeight="25.05" customHeight="1" x14ac:dyDescent="0.25"/>
  <cols>
    <col min="1" max="4" width="15.6640625" style="3"/>
  </cols>
  <sheetData>
    <row r="1" spans="1:3" ht="25.05" customHeight="1" x14ac:dyDescent="0.25">
      <c r="A1" s="4" t="s">
        <v>66</v>
      </c>
      <c r="B1" s="4" t="s">
        <v>67</v>
      </c>
      <c r="C1" s="4" t="s">
        <v>68</v>
      </c>
    </row>
    <row r="2" spans="1:3" ht="25.05" customHeight="1" x14ac:dyDescent="0.25">
      <c r="A2" s="3">
        <v>56434</v>
      </c>
      <c r="B2" s="3">
        <v>24</v>
      </c>
      <c r="C2" s="3">
        <f>IFERROR(A2/B2,0)</f>
        <v>2351.4166666666665</v>
      </c>
    </row>
    <row r="3" spans="1:3" ht="25.05" customHeight="1" x14ac:dyDescent="0.25">
      <c r="A3" s="3">
        <v>62342</v>
      </c>
      <c r="B3" s="3">
        <v>62</v>
      </c>
      <c r="C3" s="3">
        <f t="shared" ref="C3:C7" si="0">IFERROR(A3/B3,0)</f>
        <v>1005.516129032258</v>
      </c>
    </row>
    <row r="4" spans="1:3" ht="25.05" customHeight="1" x14ac:dyDescent="0.25">
      <c r="A4" s="3">
        <v>67342</v>
      </c>
      <c r="B4" s="3">
        <v>0</v>
      </c>
      <c r="C4" s="3">
        <f t="shared" si="0"/>
        <v>0</v>
      </c>
    </row>
    <row r="5" spans="1:3" ht="25.05" customHeight="1" x14ac:dyDescent="0.25">
      <c r="A5" s="3">
        <v>23546</v>
      </c>
      <c r="B5" s="3">
        <v>34</v>
      </c>
      <c r="C5" s="3">
        <f t="shared" si="0"/>
        <v>692.52941176470586</v>
      </c>
    </row>
    <row r="6" spans="1:3" ht="25.05" customHeight="1" x14ac:dyDescent="0.25">
      <c r="A6" s="3">
        <v>78656</v>
      </c>
      <c r="B6" s="3">
        <v>64</v>
      </c>
      <c r="C6" s="3">
        <f t="shared" si="0"/>
        <v>1229</v>
      </c>
    </row>
    <row r="7" spans="1:3" ht="25.05" customHeight="1" x14ac:dyDescent="0.25">
      <c r="A7" s="3" t="s">
        <v>68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87FCF-379F-4806-A4EA-E3582B37B5C2}">
  <dimension ref="A1:B2"/>
  <sheetViews>
    <sheetView zoomScale="160" zoomScaleNormal="160" workbookViewId="0">
      <selection activeCell="B3" sqref="B3"/>
    </sheetView>
  </sheetViews>
  <sheetFormatPr defaultColWidth="15.21875" defaultRowHeight="25.05" customHeight="1" x14ac:dyDescent="0.25"/>
  <cols>
    <col min="1" max="1" width="15.21875" style="13"/>
  </cols>
  <sheetData>
    <row r="1" spans="1:2" ht="25.05" customHeight="1" x14ac:dyDescent="0.25">
      <c r="A1" s="13">
        <v>19.530999999999999</v>
      </c>
      <c r="B1">
        <f>ROUND(A1,2)</f>
        <v>19.53</v>
      </c>
    </row>
    <row r="2" spans="1:2" ht="25.05" customHeight="1" x14ac:dyDescent="0.25">
      <c r="B2">
        <f>ROUND(A1,2)</f>
        <v>19.53</v>
      </c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7100C-919D-4121-85D7-C35C7492FAD7}">
  <dimension ref="A1:C3"/>
  <sheetViews>
    <sheetView zoomScale="160" zoomScaleNormal="160" workbookViewId="0">
      <selection activeCell="C3" sqref="C3"/>
    </sheetView>
  </sheetViews>
  <sheetFormatPr defaultColWidth="14" defaultRowHeight="25.05" customHeight="1" x14ac:dyDescent="0.25"/>
  <sheetData>
    <row r="1" spans="1:3" ht="25.05" customHeight="1" x14ac:dyDescent="0.25">
      <c r="A1" s="4" t="s">
        <v>69</v>
      </c>
      <c r="B1" s="14">
        <v>0.78865740740740742</v>
      </c>
    </row>
    <row r="2" spans="1:3" ht="25.05" customHeight="1" x14ac:dyDescent="0.25">
      <c r="A2" s="4" t="s">
        <v>70</v>
      </c>
      <c r="B2" s="14">
        <v>0.94859953703703714</v>
      </c>
    </row>
    <row r="3" spans="1:3" ht="25.05" customHeight="1" x14ac:dyDescent="0.25">
      <c r="A3" s="4" t="s">
        <v>71</v>
      </c>
      <c r="B3" s="10" t="str">
        <f>TEXT(B2-B1,"[m]分钟")</f>
        <v>230分钟</v>
      </c>
      <c r="C3" s="22" t="str">
        <f>TEXT(B2-B1,"[m]分钟")</f>
        <v>230分钟</v>
      </c>
    </row>
  </sheetData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9DD80-F38F-4FCA-983A-0FC031CD1889}">
  <dimension ref="A1:K6"/>
  <sheetViews>
    <sheetView workbookViewId="0">
      <selection activeCell="F6" sqref="F6"/>
    </sheetView>
  </sheetViews>
  <sheetFormatPr defaultColWidth="16.77734375" defaultRowHeight="25.05" customHeight="1" x14ac:dyDescent="0.25"/>
  <cols>
    <col min="1" max="1" width="18.21875" style="3" customWidth="1"/>
    <col min="2" max="2" width="16.77734375" style="3"/>
    <col min="3" max="3" width="18.33203125" style="3" bestFit="1" customWidth="1"/>
    <col min="4" max="16384" width="16.77734375" style="3"/>
  </cols>
  <sheetData>
    <row r="1" spans="1:11" ht="25.05" customHeight="1" x14ac:dyDescent="0.25">
      <c r="A1" s="4" t="s">
        <v>72</v>
      </c>
      <c r="C1" s="4" t="s">
        <v>73</v>
      </c>
      <c r="E1" s="4" t="s">
        <v>74</v>
      </c>
      <c r="F1" s="4" t="s">
        <v>75</v>
      </c>
      <c r="G1" s="4" t="s">
        <v>76</v>
      </c>
      <c r="H1" s="4" t="s">
        <v>77</v>
      </c>
      <c r="J1" s="4" t="s">
        <v>78</v>
      </c>
      <c r="K1" s="15">
        <v>42861</v>
      </c>
    </row>
    <row r="2" spans="1:11" ht="25.05" customHeight="1" x14ac:dyDescent="0.25">
      <c r="A2" s="15">
        <f ca="1">+TODAY()</f>
        <v>45592</v>
      </c>
      <c r="C2" s="18">
        <f ca="1">+NOW()</f>
        <v>45592.817373611113</v>
      </c>
      <c r="D2" s="3">
        <f ca="1">YEAR(C2)</f>
        <v>2024</v>
      </c>
      <c r="E2" s="15">
        <v>43353</v>
      </c>
      <c r="F2" s="9">
        <f>+YEAR(E2)</f>
        <v>2018</v>
      </c>
      <c r="G2" s="9">
        <f>+MONTH(E2)</f>
        <v>9</v>
      </c>
      <c r="H2" s="9">
        <f>+DAY(E2)</f>
        <v>10</v>
      </c>
      <c r="J2" s="4" t="s">
        <v>79</v>
      </c>
      <c r="K2" s="15">
        <v>43259</v>
      </c>
    </row>
    <row r="3" spans="1:11" ht="25.05" customHeight="1" x14ac:dyDescent="0.25">
      <c r="D3" s="3">
        <f ca="1">MONTH(C2)</f>
        <v>10</v>
      </c>
      <c r="E3" s="3">
        <f ca="1">A2-E2</f>
        <v>2239</v>
      </c>
      <c r="F3" s="3">
        <f>YEAR(E2)</f>
        <v>2018</v>
      </c>
      <c r="G3" s="3">
        <f>MONTH(E2)</f>
        <v>9</v>
      </c>
      <c r="H3" s="3">
        <f>DAY(E2)</f>
        <v>10</v>
      </c>
      <c r="J3" s="4" t="s">
        <v>80</v>
      </c>
      <c r="K3" s="3">
        <f>K2-K1</f>
        <v>398</v>
      </c>
    </row>
    <row r="4" spans="1:11" ht="25.05" customHeight="1" x14ac:dyDescent="0.25">
      <c r="D4" s="3">
        <f ca="1">DAY(C2)</f>
        <v>27</v>
      </c>
    </row>
    <row r="5" spans="1:11" ht="25.05" customHeight="1" x14ac:dyDescent="0.25">
      <c r="D5" s="3">
        <f ca="1">HOUR(C2)</f>
        <v>19</v>
      </c>
    </row>
    <row r="6" spans="1:11" ht="25.05" customHeight="1" x14ac:dyDescent="0.25">
      <c r="D6" s="3">
        <f ca="1">MINUTE(C2)</f>
        <v>37</v>
      </c>
    </row>
  </sheetData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D5CEB-42CB-46B6-A8B5-C49D70EFF6F6}">
  <dimension ref="A1:H13"/>
  <sheetViews>
    <sheetView workbookViewId="0">
      <selection activeCell="G9" sqref="G9"/>
    </sheetView>
  </sheetViews>
  <sheetFormatPr defaultColWidth="14.88671875" defaultRowHeight="25.05" customHeight="1" x14ac:dyDescent="0.25"/>
  <sheetData>
    <row r="1" spans="1:8" s="13" customFormat="1" ht="25.05" customHeight="1" x14ac:dyDescent="0.25">
      <c r="A1" s="4" t="s">
        <v>76</v>
      </c>
      <c r="B1" s="4" t="s">
        <v>81</v>
      </c>
      <c r="C1" s="4" t="s">
        <v>82</v>
      </c>
    </row>
    <row r="2" spans="1:8" ht="25.05" customHeight="1" x14ac:dyDescent="0.25">
      <c r="A2" s="3" t="s">
        <v>84</v>
      </c>
      <c r="B2" s="3">
        <v>100</v>
      </c>
      <c r="C2" s="3">
        <v>15</v>
      </c>
      <c r="D2" s="3"/>
    </row>
    <row r="3" spans="1:8" ht="25.05" customHeight="1" x14ac:dyDescent="0.25">
      <c r="A3" s="3" t="s">
        <v>85</v>
      </c>
      <c r="B3" s="3">
        <v>101</v>
      </c>
      <c r="C3" s="3">
        <v>16</v>
      </c>
      <c r="D3" s="3"/>
    </row>
    <row r="4" spans="1:8" ht="25.05" customHeight="1" x14ac:dyDescent="0.25">
      <c r="A4" s="3" t="s">
        <v>86</v>
      </c>
      <c r="B4" s="3">
        <v>102</v>
      </c>
      <c r="C4" s="3">
        <v>17</v>
      </c>
      <c r="D4" s="3"/>
      <c r="E4" s="3"/>
      <c r="F4" s="3"/>
    </row>
    <row r="5" spans="1:8" ht="25.05" customHeight="1" x14ac:dyDescent="0.25">
      <c r="A5" s="3" t="s">
        <v>87</v>
      </c>
      <c r="B5" s="3">
        <v>103</v>
      </c>
      <c r="C5" s="3">
        <v>18</v>
      </c>
      <c r="D5" s="3"/>
      <c r="E5" s="3"/>
      <c r="F5" s="19" t="s">
        <v>83</v>
      </c>
      <c r="G5" s="20"/>
      <c r="H5" s="20"/>
    </row>
    <row r="6" spans="1:8" ht="25.05" customHeight="1" x14ac:dyDescent="0.25">
      <c r="A6" s="3" t="s">
        <v>88</v>
      </c>
      <c r="B6" s="3">
        <v>104</v>
      </c>
      <c r="C6" s="3">
        <v>19</v>
      </c>
      <c r="D6" s="3"/>
      <c r="E6" s="3"/>
      <c r="F6" s="3" t="s">
        <v>76</v>
      </c>
      <c r="G6" s="3" t="s">
        <v>81</v>
      </c>
      <c r="H6" s="3" t="s">
        <v>82</v>
      </c>
    </row>
    <row r="7" spans="1:8" ht="25.05" customHeight="1" x14ac:dyDescent="0.25">
      <c r="A7" s="3" t="s">
        <v>89</v>
      </c>
      <c r="B7" s="3">
        <v>105</v>
      </c>
      <c r="C7" s="3">
        <v>20</v>
      </c>
      <c r="D7" s="3"/>
      <c r="E7" s="3"/>
      <c r="F7" s="3" t="s">
        <v>85</v>
      </c>
      <c r="G7" s="3">
        <f>INDEX(B2:B13,MATCH(F7,A2:A13,0))</f>
        <v>101</v>
      </c>
      <c r="H7" s="3">
        <f>INDEX(C2:C13,MATCH(F7,A2:A13,0))</f>
        <v>16</v>
      </c>
    </row>
    <row r="8" spans="1:8" ht="25.05" customHeight="1" x14ac:dyDescent="0.25">
      <c r="A8" s="3" t="s">
        <v>90</v>
      </c>
      <c r="B8" s="3">
        <v>106</v>
      </c>
      <c r="C8" s="3">
        <v>21</v>
      </c>
      <c r="D8" s="3"/>
      <c r="E8" s="3"/>
      <c r="F8" s="3" t="s">
        <v>142</v>
      </c>
      <c r="G8" s="3">
        <f>VLOOKUP($F$8,$A$2:$C$13,COLUMN(B$1),0)</f>
        <v>101</v>
      </c>
      <c r="H8" s="3">
        <f>VLOOKUP($F$8,$A$2:$C$13,COLUMN(C$1),0)</f>
        <v>16</v>
      </c>
    </row>
    <row r="9" spans="1:8" ht="25.05" customHeight="1" x14ac:dyDescent="0.25">
      <c r="A9" s="3" t="s">
        <v>91</v>
      </c>
      <c r="B9" s="3">
        <v>107</v>
      </c>
      <c r="C9" s="3">
        <v>22</v>
      </c>
      <c r="D9" s="3"/>
      <c r="E9" s="3"/>
      <c r="F9" s="3"/>
      <c r="G9" s="3"/>
    </row>
    <row r="10" spans="1:8" ht="25.05" customHeight="1" x14ac:dyDescent="0.25">
      <c r="A10" s="3" t="s">
        <v>92</v>
      </c>
      <c r="B10" s="3">
        <v>108</v>
      </c>
      <c r="C10" s="3">
        <v>23</v>
      </c>
      <c r="D10" s="3"/>
      <c r="E10" s="3"/>
      <c r="F10" s="3"/>
      <c r="G10" s="3"/>
    </row>
    <row r="11" spans="1:8" ht="25.05" customHeight="1" x14ac:dyDescent="0.25">
      <c r="A11" s="3" t="s">
        <v>93</v>
      </c>
      <c r="B11" s="3">
        <v>109</v>
      </c>
      <c r="C11" s="3">
        <v>24</v>
      </c>
      <c r="D11" s="3"/>
      <c r="E11" s="3"/>
      <c r="F11" s="3"/>
      <c r="G11" s="3"/>
    </row>
    <row r="12" spans="1:8" ht="25.05" customHeight="1" x14ac:dyDescent="0.25">
      <c r="A12" s="3" t="s">
        <v>94</v>
      </c>
      <c r="B12" s="3">
        <v>110</v>
      </c>
      <c r="C12" s="3">
        <v>25</v>
      </c>
      <c r="D12" s="3"/>
      <c r="E12" s="3"/>
      <c r="F12" s="3"/>
      <c r="G12" s="3"/>
    </row>
    <row r="13" spans="1:8" ht="25.05" customHeight="1" x14ac:dyDescent="0.25">
      <c r="A13" s="3" t="s">
        <v>95</v>
      </c>
      <c r="B13" s="3">
        <v>111</v>
      </c>
      <c r="C13" s="3">
        <v>26</v>
      </c>
      <c r="D13" s="3"/>
      <c r="E13" s="3"/>
      <c r="F13" s="3"/>
      <c r="G13" s="3"/>
    </row>
  </sheetData>
  <mergeCells count="1">
    <mergeCell ref="F5:H5"/>
  </mergeCells>
  <phoneticPr fontId="2" type="noConversion"/>
  <dataValidations count="1">
    <dataValidation type="list" allowBlank="1" showInputMessage="1" showErrorMessage="1" sqref="F8" xr:uid="{B736D78C-8D29-4677-A072-795CFD9E68CC}">
      <formula1>$A$2:$A$13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210E6-91E5-4C9D-AE12-15F21BED8A7F}">
  <dimension ref="B1:C3"/>
  <sheetViews>
    <sheetView zoomScale="160" zoomScaleNormal="160" workbookViewId="0">
      <selection activeCell="C4" sqref="C4"/>
    </sheetView>
  </sheetViews>
  <sheetFormatPr defaultColWidth="16.109375" defaultRowHeight="25.05" customHeight="1" x14ac:dyDescent="0.25"/>
  <sheetData>
    <row r="1" spans="2:3" ht="25.05" customHeight="1" x14ac:dyDescent="0.25">
      <c r="B1" s="4" t="s">
        <v>77</v>
      </c>
      <c r="C1" s="4" t="s">
        <v>96</v>
      </c>
    </row>
    <row r="2" spans="2:3" ht="25.05" customHeight="1" x14ac:dyDescent="0.25">
      <c r="B2" s="15">
        <v>43263</v>
      </c>
      <c r="C2" s="3" t="str">
        <f>TEXT(WEEKDAY(B2),"aaaa")</f>
        <v>星期二</v>
      </c>
    </row>
    <row r="3" spans="2:3" ht="25.05" customHeight="1" x14ac:dyDescent="0.25">
      <c r="C3" t="str">
        <f>TEXT(WEEKDAY(B2),"dddd")</f>
        <v>Tuesday</v>
      </c>
    </row>
  </sheetData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5AA24-C57A-43AF-B3BB-7B2B9FF2476D}">
  <dimension ref="A1:B4"/>
  <sheetViews>
    <sheetView zoomScale="175" zoomScaleNormal="175" workbookViewId="0">
      <selection activeCell="C6" sqref="C6"/>
    </sheetView>
  </sheetViews>
  <sheetFormatPr defaultColWidth="16.77734375" defaultRowHeight="25.05" customHeight="1" x14ac:dyDescent="0.25"/>
  <cols>
    <col min="1" max="16384" width="16.77734375" style="3"/>
  </cols>
  <sheetData>
    <row r="1" spans="1:2" ht="25.05" customHeight="1" x14ac:dyDescent="0.25">
      <c r="A1" s="4" t="s">
        <v>63</v>
      </c>
      <c r="B1" s="4" t="s">
        <v>82</v>
      </c>
    </row>
    <row r="2" spans="1:2" ht="25.05" customHeight="1" x14ac:dyDescent="0.25">
      <c r="A2" s="15">
        <v>34497</v>
      </c>
      <c r="B2" s="3">
        <f ca="1">DATEDIF(A2,TODAY(),"y")</f>
        <v>30</v>
      </c>
    </row>
    <row r="3" spans="1:2" ht="25.05" customHeight="1" x14ac:dyDescent="0.25">
      <c r="B3" s="3">
        <f ca="1">DATEDIF(A2,TODAY(),"m")</f>
        <v>364</v>
      </c>
    </row>
    <row r="4" spans="1:2" ht="25.05" customHeight="1" x14ac:dyDescent="0.25">
      <c r="B4" s="3">
        <f ca="1">DATEDIF($A$2,TODAY(),"d")</f>
        <v>11095</v>
      </c>
    </row>
  </sheetData>
  <phoneticPr fontId="2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EDB15-DF3F-4003-A0E5-9AD79B624E3F}">
  <dimension ref="A1:D3"/>
  <sheetViews>
    <sheetView tabSelected="1" zoomScale="160" zoomScaleNormal="160" workbookViewId="0">
      <selection activeCell="C4" sqref="C4"/>
    </sheetView>
  </sheetViews>
  <sheetFormatPr defaultColWidth="14.88671875" defaultRowHeight="25.05" customHeight="1" x14ac:dyDescent="0.25"/>
  <cols>
    <col min="1" max="1" width="30.5546875" style="3" customWidth="1"/>
    <col min="2" max="16384" width="14.88671875" style="3"/>
  </cols>
  <sheetData>
    <row r="1" spans="1:4" ht="25.05" customHeight="1" x14ac:dyDescent="0.25">
      <c r="A1" s="4" t="s">
        <v>97</v>
      </c>
    </row>
    <row r="2" spans="1:4" ht="25.05" customHeight="1" x14ac:dyDescent="0.25">
      <c r="A2" s="16" t="s">
        <v>98</v>
      </c>
      <c r="B2" s="3" t="str">
        <f>MID(A2,17,1)</f>
        <v>1</v>
      </c>
      <c r="C2" s="3">
        <f>MOD(B2,2)</f>
        <v>1</v>
      </c>
      <c r="D2" s="3" t="str">
        <f>IF(MOD(MID(A2,17,1),2)=1,"男","女")</f>
        <v>男</v>
      </c>
    </row>
    <row r="3" spans="1:4" ht="25.05" customHeight="1" x14ac:dyDescent="0.25">
      <c r="B3" s="3" t="str">
        <f>LEFT(RIGHT(A2,2),1)</f>
        <v>1</v>
      </c>
      <c r="C3" s="3" t="str">
        <f>IF(MOD(B3,2)=0,"女","男")</f>
        <v>男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1.	IF函数条件判断</vt:lpstr>
      <vt:lpstr>2.	IF多条件判断</vt:lpstr>
      <vt:lpstr>3.	条件求和</vt:lpstr>
      <vt:lpstr>4.	多条件求和</vt:lpstr>
      <vt:lpstr>5.	条件计数</vt:lpstr>
      <vt:lpstr>6.	多条件计数。</vt:lpstr>
      <vt:lpstr>7.	条件查找</vt:lpstr>
      <vt:lpstr>8.	多条件查找</vt:lpstr>
      <vt:lpstr>9.	计算文本算式</vt:lpstr>
      <vt:lpstr>10.	合并多个单元格内容</vt:lpstr>
      <vt:lpstr>11.	合并带格式的单元格内容</vt:lpstr>
      <vt:lpstr>12.	替换部分电话号码</vt:lpstr>
      <vt:lpstr>13.	屏蔽函数公式返回的错误值</vt:lpstr>
      <vt:lpstr>14.	四舍五入函数</vt:lpstr>
      <vt:lpstr>15.	取整的间隔小时数</vt:lpstr>
      <vt:lpstr>16.	日期函数</vt:lpstr>
      <vt:lpstr>17.	index与match函数</vt:lpstr>
      <vt:lpstr>18.	某个日期是星期几</vt:lpstr>
      <vt:lpstr>19.	根据出生年月计算年龄</vt:lpstr>
      <vt:lpstr>20.	从身份证号码中提取性别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雅客</dc:creator>
  <cp:lastModifiedBy>世昌 邵</cp:lastModifiedBy>
  <dcterms:created xsi:type="dcterms:W3CDTF">2018-08-08T07:30:19Z</dcterms:created>
  <dcterms:modified xsi:type="dcterms:W3CDTF">2024-10-27T11:37:05Z</dcterms:modified>
</cp:coreProperties>
</file>