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B234A50A-3720-497C-B3FC-2FD015B62C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2" r:id="rId1"/>
    <sheet name="练习题2" sheetId="1" r:id="rId2"/>
    <sheet name="练习题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H5" i="3"/>
  <c r="H6" i="3"/>
  <c r="I6" i="3"/>
  <c r="H7" i="3"/>
  <c r="I7" i="3"/>
  <c r="H8" i="3"/>
  <c r="I8" i="3"/>
  <c r="I4" i="3"/>
  <c r="H4" i="3"/>
  <c r="H4" i="1"/>
  <c r="H3" i="1"/>
  <c r="H2" i="1"/>
  <c r="H3" i="2"/>
</calcChain>
</file>

<file path=xl/sharedStrings.xml><?xml version="1.0" encoding="utf-8"?>
<sst xmlns="http://schemas.openxmlformats.org/spreadsheetml/2006/main" count="73" uniqueCount="46">
  <si>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</si>
  <si>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</si>
  <si>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</si>
  <si>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</si>
  <si>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孔光桃</t>
    <phoneticPr fontId="1" type="noConversion"/>
  </si>
  <si>
    <t>曹秋</t>
    <phoneticPr fontId="1" type="noConversion"/>
  </si>
  <si>
    <t>孔计香</t>
    <phoneticPr fontId="1" type="noConversion"/>
  </si>
  <si>
    <t>冯忠娇</t>
    <phoneticPr fontId="1" type="noConversion"/>
  </si>
  <si>
    <t>女</t>
    <phoneticPr fontId="1" type="noConversion"/>
  </si>
  <si>
    <t>男</t>
    <phoneticPr fontId="1" type="noConversion"/>
  </si>
  <si>
    <t>一季度销售表</t>
    <phoneticPr fontId="3" type="noConversion"/>
  </si>
  <si>
    <t>布鞋</t>
    <phoneticPr fontId="3" type="noConversion"/>
  </si>
  <si>
    <t>白</t>
    <phoneticPr fontId="3" type="noConversion"/>
  </si>
  <si>
    <t>北京</t>
    <phoneticPr fontId="3" type="noConversion"/>
  </si>
  <si>
    <t>蓝</t>
    <phoneticPr fontId="3" type="noConversion"/>
  </si>
  <si>
    <t>上海</t>
    <phoneticPr fontId="3" type="noConversion"/>
  </si>
  <si>
    <t>绿</t>
    <phoneticPr fontId="3" type="noConversion"/>
  </si>
  <si>
    <t>广州</t>
    <phoneticPr fontId="3" type="noConversion"/>
  </si>
  <si>
    <t>黑</t>
    <phoneticPr fontId="3" type="noConversion"/>
  </si>
  <si>
    <t>运动鞋</t>
    <phoneticPr fontId="3" type="noConversion"/>
  </si>
  <si>
    <t>拖鞋</t>
    <phoneticPr fontId="3" type="noConversion"/>
  </si>
  <si>
    <t>布鞋</t>
    <phoneticPr fontId="1" type="noConversion"/>
  </si>
  <si>
    <t>总销量</t>
    <phoneticPr fontId="3" type="noConversion"/>
  </si>
  <si>
    <t>销售月份</t>
    <phoneticPr fontId="1" type="noConversion"/>
  </si>
  <si>
    <t>产品名称</t>
    <phoneticPr fontId="1" type="noConversion"/>
  </si>
  <si>
    <t>产品颜色</t>
    <phoneticPr fontId="1" type="noConversion"/>
  </si>
  <si>
    <t>销售数量</t>
    <phoneticPr fontId="1" type="noConversion"/>
  </si>
  <si>
    <t>销售地区</t>
    <phoneticPr fontId="1" type="noConversion"/>
  </si>
  <si>
    <t>产品名称</t>
    <phoneticPr fontId="3" type="noConversion"/>
  </si>
  <si>
    <t>1.女生的成绩总和</t>
    <phoneticPr fontId="1" type="noConversion"/>
  </si>
  <si>
    <t>目标营业额</t>
    <phoneticPr fontId="1" type="noConversion"/>
  </si>
  <si>
    <t>实际营业额</t>
    <phoneticPr fontId="1" type="noConversion"/>
  </si>
  <si>
    <t>1月份</t>
    <phoneticPr fontId="1" type="noConversion"/>
  </si>
  <si>
    <t>2月份</t>
    <phoneticPr fontId="1" type="noConversion"/>
  </si>
  <si>
    <t>3月份</t>
    <phoneticPr fontId="1" type="noConversion"/>
  </si>
  <si>
    <t>一季度合计</t>
    <phoneticPr fontId="1" type="noConversion"/>
  </si>
  <si>
    <t>一季度业绩考核表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</si>
  <si>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</si>
  <si>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</si>
  <si>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</si>
  <si>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</si>
  <si>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</si>
  <si>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超市</t>
    <phoneticPr fontId="1" type="noConversion"/>
  </si>
  <si>
    <t>孔盼</t>
    <phoneticPr fontId="1" type="noConversion"/>
  </si>
  <si>
    <t>3.所有姓孔的同学的成绩总和</t>
    <phoneticPr fontId="1" type="noConversion"/>
  </si>
  <si>
    <t>2.大于等于60分的成绩总和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</si>
</sst>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H3" sqref="H3"/>
    </sheetView>
  </sheetViews>
  <sheetFormatPr defaultRowHeight="13.8" x14ac:dyDescent="0.25"/>
  <sheetData>
    <row r="1" spans="1:8" ht="17.399999999999999" x14ac:dyDescent="0.25">
      <c r="A1" s="3"/>
      <c r="B1" s="4" t="s">
        <v>10</v>
      </c>
      <c r="C1" s="3"/>
      <c r="D1" s="3"/>
      <c r="E1" s="3"/>
    </row>
    <row r="2" spans="1:8" x14ac:dyDescent="0.2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G2" s="5" t="s">
        <v>28</v>
      </c>
      <c r="H2" s="5" t="s">
        <v>22</v>
      </c>
    </row>
    <row r="3" spans="1:8" x14ac:dyDescent="0.25">
      <c r="A3" s="6">
        <v>1</v>
      </c>
      <c r="B3" s="6" t="s">
        <v>11</v>
      </c>
      <c r="C3" s="6" t="s">
        <v>12</v>
      </c>
      <c r="D3" s="6">
        <v>800</v>
      </c>
      <c r="E3" s="6" t="s">
        <v>13</v>
      </c>
      <c r="G3" s="1" t="s">
        <v>21</v>
      </c>
      <c r="H3" s="1">
        <f>SUMIF(B3:B11,G3,D3:D11)</f>
        <v>2500</v>
      </c>
    </row>
    <row r="4" spans="1:8" x14ac:dyDescent="0.25">
      <c r="A4" s="6">
        <v>1</v>
      </c>
      <c r="B4" s="6" t="s">
        <v>11</v>
      </c>
      <c r="C4" s="6" t="s">
        <v>14</v>
      </c>
      <c r="D4" s="6">
        <v>400</v>
      </c>
      <c r="E4" s="6" t="s">
        <v>15</v>
      </c>
    </row>
    <row r="5" spans="1:8" x14ac:dyDescent="0.25">
      <c r="A5" s="6">
        <v>1</v>
      </c>
      <c r="B5" s="6" t="s">
        <v>11</v>
      </c>
      <c r="C5" s="6" t="s">
        <v>16</v>
      </c>
      <c r="D5" s="6">
        <v>800</v>
      </c>
      <c r="E5" s="6" t="s">
        <v>17</v>
      </c>
    </row>
    <row r="6" spans="1:8" x14ac:dyDescent="0.25">
      <c r="A6" s="6">
        <v>2</v>
      </c>
      <c r="B6" s="6" t="s">
        <v>11</v>
      </c>
      <c r="C6" s="6" t="s">
        <v>18</v>
      </c>
      <c r="D6" s="6">
        <v>200</v>
      </c>
      <c r="E6" s="6" t="s">
        <v>13</v>
      </c>
    </row>
    <row r="7" spans="1:8" x14ac:dyDescent="0.25">
      <c r="A7" s="6">
        <v>2</v>
      </c>
      <c r="B7" s="6" t="s">
        <v>19</v>
      </c>
      <c r="C7" s="6" t="s">
        <v>12</v>
      </c>
      <c r="D7" s="6">
        <v>800</v>
      </c>
      <c r="E7" s="6" t="s">
        <v>15</v>
      </c>
    </row>
    <row r="8" spans="1:8" x14ac:dyDescent="0.25">
      <c r="A8" s="6">
        <v>2</v>
      </c>
      <c r="B8" s="6" t="s">
        <v>20</v>
      </c>
      <c r="C8" s="6" t="s">
        <v>18</v>
      </c>
      <c r="D8" s="6">
        <v>400</v>
      </c>
      <c r="E8" s="6" t="s">
        <v>17</v>
      </c>
    </row>
    <row r="9" spans="1:8" x14ac:dyDescent="0.25">
      <c r="A9" s="6">
        <v>3</v>
      </c>
      <c r="B9" s="6" t="s">
        <v>11</v>
      </c>
      <c r="C9" s="6" t="s">
        <v>12</v>
      </c>
      <c r="D9" s="6">
        <v>300</v>
      </c>
      <c r="E9" s="6" t="s">
        <v>13</v>
      </c>
    </row>
    <row r="10" spans="1:8" x14ac:dyDescent="0.25">
      <c r="A10" s="6">
        <v>3</v>
      </c>
      <c r="B10" s="6" t="s">
        <v>19</v>
      </c>
      <c r="C10" s="6" t="s">
        <v>12</v>
      </c>
      <c r="D10" s="6">
        <v>500</v>
      </c>
      <c r="E10" s="6" t="s">
        <v>15</v>
      </c>
    </row>
    <row r="11" spans="1:8" x14ac:dyDescent="0.25">
      <c r="A11" s="6">
        <v>3</v>
      </c>
      <c r="B11" s="6" t="s">
        <v>20</v>
      </c>
      <c r="C11" s="6" t="s">
        <v>18</v>
      </c>
      <c r="D11" s="6">
        <v>800</v>
      </c>
      <c r="E11" s="6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I9" sqref="I9"/>
    </sheetView>
  </sheetViews>
  <sheetFormatPr defaultRowHeight="13.8" x14ac:dyDescent="0.25"/>
  <sheetData>
    <row r="1" spans="1:8" x14ac:dyDescent="0.25">
      <c r="A1" s="2" t="s">
        <v>0</v>
      </c>
      <c r="B1" s="2" t="s">
        <v>1</v>
      </c>
      <c r="C1" s="2" t="s">
        <v>2</v>
      </c>
    </row>
    <row r="2" spans="1:8" x14ac:dyDescent="0.25">
      <c r="A2" s="1" t="s">
        <v>3</v>
      </c>
      <c r="B2" s="1" t="s">
        <v>8</v>
      </c>
      <c r="C2" s="1">
        <v>72</v>
      </c>
      <c r="E2" t="s">
        <v>29</v>
      </c>
      <c r="H2">
        <f>SUMIF(B2:B7,$B$2,C2:C7)</f>
        <v>270</v>
      </c>
    </row>
    <row r="3" spans="1:8" x14ac:dyDescent="0.25">
      <c r="A3" s="1" t="s">
        <v>4</v>
      </c>
      <c r="B3" s="1" t="s">
        <v>8</v>
      </c>
      <c r="C3" s="1">
        <v>56</v>
      </c>
      <c r="E3" t="s">
        <v>45</v>
      </c>
      <c r="H3">
        <f>SUMIF(C2:C7,"&gt;=60",C2:C7)</f>
        <v>374</v>
      </c>
    </row>
    <row r="4" spans="1:8" x14ac:dyDescent="0.25">
      <c r="A4" s="1" t="s">
        <v>5</v>
      </c>
      <c r="B4" s="1" t="s">
        <v>9</v>
      </c>
      <c r="C4" s="1">
        <v>93</v>
      </c>
      <c r="E4" t="s">
        <v>44</v>
      </c>
      <c r="H4">
        <f>SUMIF(A2:A7,"孔*",C2:C7)</f>
        <v>184</v>
      </c>
    </row>
    <row r="5" spans="1:8" x14ac:dyDescent="0.25">
      <c r="A5" s="1" t="s">
        <v>6</v>
      </c>
      <c r="B5" s="1" t="s">
        <v>8</v>
      </c>
      <c r="C5" s="1">
        <v>61</v>
      </c>
    </row>
    <row r="6" spans="1:8" x14ac:dyDescent="0.25">
      <c r="A6" s="1" t="s">
        <v>7</v>
      </c>
      <c r="B6" s="1" t="s">
        <v>8</v>
      </c>
      <c r="C6" s="1">
        <v>81</v>
      </c>
    </row>
    <row r="7" spans="1:8" x14ac:dyDescent="0.25">
      <c r="A7" s="1" t="s">
        <v>43</v>
      </c>
      <c r="B7" s="1" t="s">
        <v>9</v>
      </c>
      <c r="C7" s="1">
        <v>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tabSelected="1" workbookViewId="0">
      <selection activeCell="J8" sqref="J8"/>
    </sheetView>
  </sheetViews>
  <sheetFormatPr defaultRowHeight="13.8" x14ac:dyDescent="0.25"/>
  <cols>
    <col min="2" max="9" width="10.6640625" customWidth="1"/>
  </cols>
  <sheetData>
    <row r="1" spans="1:9" x14ac:dyDescent="0.25">
      <c r="A1" s="11" t="s">
        <v>36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2"/>
      <c r="B2" s="9" t="s">
        <v>32</v>
      </c>
      <c r="C2" s="9"/>
      <c r="D2" s="9" t="s">
        <v>33</v>
      </c>
      <c r="E2" s="9"/>
      <c r="F2" s="9" t="s">
        <v>34</v>
      </c>
      <c r="G2" s="9"/>
      <c r="H2" s="10" t="s">
        <v>35</v>
      </c>
      <c r="I2" s="10"/>
    </row>
    <row r="3" spans="1:9" x14ac:dyDescent="0.25">
      <c r="A3" s="2" t="s">
        <v>42</v>
      </c>
      <c r="B3" s="2" t="s">
        <v>30</v>
      </c>
      <c r="C3" s="2" t="s">
        <v>31</v>
      </c>
      <c r="D3" s="2" t="s">
        <v>30</v>
      </c>
      <c r="E3" s="2" t="s">
        <v>31</v>
      </c>
      <c r="F3" s="2" t="s">
        <v>30</v>
      </c>
      <c r="G3" s="2" t="s">
        <v>31</v>
      </c>
      <c r="H3" s="8" t="s">
        <v>30</v>
      </c>
      <c r="I3" s="8" t="s">
        <v>31</v>
      </c>
    </row>
    <row r="4" spans="1:9" x14ac:dyDescent="0.25">
      <c r="A4" s="1" t="s">
        <v>37</v>
      </c>
      <c r="B4" s="1">
        <v>10000</v>
      </c>
      <c r="C4" s="1">
        <v>8967</v>
      </c>
      <c r="D4" s="1">
        <v>10000</v>
      </c>
      <c r="E4" s="1">
        <v>9563</v>
      </c>
      <c r="F4" s="1">
        <v>11000</v>
      </c>
      <c r="G4" s="1">
        <v>9402</v>
      </c>
      <c r="H4" s="1">
        <f>SUMIF($B$3:$G$3,H$3,$B4:$G4)</f>
        <v>31000</v>
      </c>
      <c r="I4" s="1">
        <f>SUMIF($B$3:$G$3,I$3,$B4:$G4)</f>
        <v>27932</v>
      </c>
    </row>
    <row r="5" spans="1:9" x14ac:dyDescent="0.25">
      <c r="A5" s="1" t="s">
        <v>38</v>
      </c>
      <c r="B5" s="1">
        <v>12000</v>
      </c>
      <c r="C5" s="1">
        <v>11112</v>
      </c>
      <c r="D5" s="1">
        <v>12000</v>
      </c>
      <c r="E5" s="1">
        <v>9361</v>
      </c>
      <c r="F5" s="1">
        <v>11000</v>
      </c>
      <c r="G5" s="1">
        <v>10038</v>
      </c>
      <c r="H5" s="1">
        <f>SUMIF($B$3:$G$3,H$3,$B5:$G5)</f>
        <v>35000</v>
      </c>
      <c r="I5" s="1">
        <f>SUMIF($B$3:$G$3,I$3,$B5:$G5)</f>
        <v>30511</v>
      </c>
    </row>
    <row r="6" spans="1:9" x14ac:dyDescent="0.25">
      <c r="A6" s="1" t="s">
        <v>39</v>
      </c>
      <c r="B6" s="1">
        <v>9000</v>
      </c>
      <c r="C6" s="1">
        <v>8282</v>
      </c>
      <c r="D6" s="1">
        <v>9000</v>
      </c>
      <c r="E6" s="1">
        <v>10420</v>
      </c>
      <c r="F6" s="1">
        <v>11000</v>
      </c>
      <c r="G6" s="1">
        <v>9304</v>
      </c>
      <c r="H6" s="1">
        <f t="shared" ref="H5:I8" si="0">SUMIF($B$3:$G$3,H$3,$B6:$G6)</f>
        <v>29000</v>
      </c>
      <c r="I6" s="1">
        <f t="shared" si="0"/>
        <v>28006</v>
      </c>
    </row>
    <row r="7" spans="1:9" x14ac:dyDescent="0.25">
      <c r="A7" s="1" t="s">
        <v>40</v>
      </c>
      <c r="B7" s="1">
        <v>8500</v>
      </c>
      <c r="C7" s="1">
        <v>7081</v>
      </c>
      <c r="D7" s="1">
        <v>8500</v>
      </c>
      <c r="E7" s="1">
        <v>7012</v>
      </c>
      <c r="F7" s="1">
        <v>8500</v>
      </c>
      <c r="G7" s="1">
        <v>9114</v>
      </c>
      <c r="H7" s="1">
        <f t="shared" si="0"/>
        <v>25500</v>
      </c>
      <c r="I7" s="1">
        <f t="shared" si="0"/>
        <v>23207</v>
      </c>
    </row>
    <row r="8" spans="1:9" x14ac:dyDescent="0.25">
      <c r="A8" s="1" t="s">
        <v>41</v>
      </c>
      <c r="B8" s="1">
        <v>11000</v>
      </c>
      <c r="C8" s="1">
        <v>6377</v>
      </c>
      <c r="D8" s="1">
        <v>8000</v>
      </c>
      <c r="E8" s="1">
        <v>8554</v>
      </c>
      <c r="F8" s="1">
        <v>9000</v>
      </c>
      <c r="G8" s="1">
        <v>7490</v>
      </c>
      <c r="H8" s="1">
        <f t="shared" si="0"/>
        <v>28000</v>
      </c>
      <c r="I8" s="1">
        <f t="shared" si="0"/>
        <v>22421</v>
      </c>
    </row>
  </sheetData>
  <mergeCells count="5">
    <mergeCell ref="B2:C2"/>
    <mergeCell ref="D2:E2"/>
    <mergeCell ref="F2:G2"/>
    <mergeCell ref="H2:I2"/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2024-10-25T11:12:57Z</dcterms:modified>
</cp:coreProperties>
</file>