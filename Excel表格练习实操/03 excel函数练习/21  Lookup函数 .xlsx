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025"/>
  <workbookPr filterPrivacy="1"/>
  <xr:revisionPtr revIDLastSave="0" documentId="13_ncr:1_{F9EB3E53-70A7-4E4A-BB7B-68BC8A60AE32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练习题1" sheetId="1" r:id="rId1"/>
    <sheet name="练习题2" sheetId="3" r:id="rId2"/>
    <sheet name="练习题3" sheetId="2" r:id="rId3"/>
    <sheet name="练习题4" sheetId="4" r:id="rId4"/>
    <sheet name="练习题5" sheetId="5" r:id="rId5"/>
    <sheet name="练习题6" sheetId="6" r:id="rId6"/>
    <sheet name="练习题7" sheetId="8" r:id="rId7"/>
    <sheet name="Sheet1" sheetId="7" state="hidden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16" i="2" l="1"/>
  <c r="E16" i="1"/>
  <c r="L11" i="1"/>
  <c r="G3" i="3"/>
  <c r="E2" i="1"/>
  <c r="L2" i="1"/>
  <c r="L4" i="7" l="1" a="1"/>
  <c r="L4" i="7" s="1"/>
  <c r="L5" i="7" a="1"/>
  <c r="L5" i="7" s="1"/>
  <c r="L6" i="7" a="1"/>
  <c r="L6" i="7" s="1"/>
  <c r="L7" i="7" a="1"/>
  <c r="L7" i="7" s="1"/>
  <c r="L3" i="7" a="1"/>
  <c r="L3" i="7" s="1"/>
  <c r="L2" i="7"/>
  <c r="H12" i="7" a="1"/>
  <c r="H12" i="7" s="1"/>
  <c r="E17" i="7" a="1"/>
  <c r="E17" i="7" s="1"/>
  <c r="E11" i="7" a="1"/>
  <c r="E11" i="7" s="1"/>
  <c r="G3" i="7"/>
  <c r="G4" i="7"/>
  <c r="G5" i="7"/>
  <c r="G6" i="7"/>
  <c r="G7" i="7"/>
  <c r="G2" i="7"/>
  <c r="E3" i="7"/>
  <c r="E4" i="7"/>
  <c r="E5" i="7"/>
  <c r="E6" i="7"/>
  <c r="E7" i="7"/>
  <c r="E2" i="7"/>
  <c r="F2" i="7"/>
  <c r="H13" i="7" l="1"/>
  <c r="H14" i="7"/>
  <c r="G6" i="2" l="1"/>
  <c r="G7" i="2"/>
  <c r="G9" i="2"/>
  <c r="G10" i="2"/>
  <c r="G4" i="2"/>
  <c r="G3" i="2"/>
  <c r="G5" i="2"/>
  <c r="D16" i="2" s="1"/>
  <c r="G8" i="2"/>
  <c r="G11" i="2"/>
</calcChain>
</file>

<file path=xl/sharedStrings.xml><?xml version="1.0" encoding="utf-8"?>
<sst xmlns="http://schemas.openxmlformats.org/spreadsheetml/2006/main" count="217" uniqueCount="138">
  <si>
    <t>产品编号</t>
    <phoneticPr fontId="3" type="noConversion"/>
  </si>
  <si>
    <t>产品名称</t>
    <phoneticPr fontId="3" type="noConversion"/>
  </si>
  <si>
    <t>苹果</t>
    <phoneticPr fontId="3" type="noConversion"/>
  </si>
  <si>
    <t>西瓜</t>
    <phoneticPr fontId="3" type="noConversion"/>
  </si>
  <si>
    <t>香蕉</t>
    <phoneticPr fontId="3" type="noConversion"/>
  </si>
  <si>
    <t>桃子</t>
    <phoneticPr fontId="3" type="noConversion"/>
  </si>
  <si>
    <t>火轮果</t>
    <phoneticPr fontId="3" type="noConversion"/>
  </si>
  <si>
    <t>姓名</t>
    <phoneticPr fontId="2" type="noConversion"/>
  </si>
  <si>
    <t>性别</t>
    <phoneticPr fontId="2" type="noConversion"/>
  </si>
  <si>
    <t>张珍</t>
  </si>
  <si>
    <t>孔红萍</t>
  </si>
  <si>
    <t>严翠</t>
  </si>
  <si>
    <t>郑韵</t>
  </si>
  <si>
    <t>郑胜敏</t>
  </si>
  <si>
    <t>曹妍</t>
  </si>
  <si>
    <t>张静娴</t>
  </si>
  <si>
    <t>褚育彤</t>
  </si>
  <si>
    <t>女</t>
    <phoneticPr fontId="2" type="noConversion"/>
  </si>
  <si>
    <t>男</t>
    <phoneticPr fontId="2" type="noConversion"/>
  </si>
  <si>
    <t>语文</t>
    <phoneticPr fontId="2" type="noConversion"/>
  </si>
  <si>
    <t>数学</t>
    <phoneticPr fontId="2" type="noConversion"/>
  </si>
  <si>
    <t>英语</t>
    <phoneticPr fontId="2" type="noConversion"/>
  </si>
  <si>
    <t>总分</t>
    <phoneticPr fontId="2" type="noConversion"/>
  </si>
  <si>
    <t>期末成绩</t>
    <phoneticPr fontId="2" type="noConversion"/>
  </si>
  <si>
    <t>苹果</t>
  </si>
  <si>
    <t>西瓜</t>
  </si>
  <si>
    <t>香蕉</t>
  </si>
  <si>
    <t>桃子</t>
  </si>
  <si>
    <t>火轮果</t>
  </si>
  <si>
    <t>韩翠</t>
    <phoneticPr fontId="2" type="noConversion"/>
  </si>
  <si>
    <t>班级</t>
    <phoneticPr fontId="2" type="noConversion"/>
  </si>
  <si>
    <t>1班</t>
    <phoneticPr fontId="2" type="noConversion"/>
  </si>
  <si>
    <t>重点提示：</t>
    <phoneticPr fontId="2" type="noConversion"/>
  </si>
  <si>
    <t>编号</t>
    <phoneticPr fontId="2" type="noConversion"/>
  </si>
  <si>
    <t>值</t>
    <phoneticPr fontId="2" type="noConversion"/>
  </si>
  <si>
    <t>T1</t>
    <phoneticPr fontId="2" type="noConversion"/>
  </si>
  <si>
    <t>T2</t>
  </si>
  <si>
    <t>T3</t>
  </si>
  <si>
    <t>T4</t>
  </si>
  <si>
    <t>T5</t>
  </si>
  <si>
    <t>T6</t>
  </si>
  <si>
    <t>T7</t>
  </si>
  <si>
    <t>T8</t>
  </si>
  <si>
    <t>T9</t>
  </si>
  <si>
    <t>题目：</t>
    <phoneticPr fontId="2" type="noConversion"/>
  </si>
  <si>
    <t>品名</t>
    <phoneticPr fontId="2" type="noConversion"/>
  </si>
  <si>
    <t>产地</t>
    <phoneticPr fontId="2" type="noConversion"/>
  </si>
  <si>
    <t>等级</t>
    <phoneticPr fontId="2" type="noConversion"/>
  </si>
  <si>
    <t>销量</t>
    <phoneticPr fontId="2" type="noConversion"/>
  </si>
  <si>
    <t>序号</t>
    <phoneticPr fontId="2" type="noConversion"/>
  </si>
  <si>
    <t>梨</t>
    <phoneticPr fontId="2" type="noConversion"/>
  </si>
  <si>
    <t>A</t>
    <phoneticPr fontId="2" type="noConversion"/>
  </si>
  <si>
    <t>河北</t>
    <phoneticPr fontId="2" type="noConversion"/>
  </si>
  <si>
    <t>苹果</t>
    <phoneticPr fontId="2" type="noConversion"/>
  </si>
  <si>
    <t>B</t>
    <phoneticPr fontId="2" type="noConversion"/>
  </si>
  <si>
    <t>山东</t>
    <phoneticPr fontId="2" type="noConversion"/>
  </si>
  <si>
    <t>青枣</t>
    <phoneticPr fontId="2" type="noConversion"/>
  </si>
  <si>
    <t>天津</t>
    <phoneticPr fontId="2" type="noConversion"/>
  </si>
  <si>
    <t>C</t>
    <phoneticPr fontId="2" type="noConversion"/>
  </si>
  <si>
    <t>山西</t>
    <phoneticPr fontId="2" type="noConversion"/>
  </si>
  <si>
    <t>香蕉</t>
    <phoneticPr fontId="2" type="noConversion"/>
  </si>
  <si>
    <t>福建</t>
    <phoneticPr fontId="2" type="noConversion"/>
  </si>
  <si>
    <t>哈密瓜</t>
    <phoneticPr fontId="2" type="noConversion"/>
  </si>
  <si>
    <t>新建</t>
    <phoneticPr fontId="2" type="noConversion"/>
  </si>
  <si>
    <t>用LOOKUP函数找出最近出售的B等、产地为山东的苹果的销量。</t>
    <phoneticPr fontId="2" type="noConversion"/>
  </si>
  <si>
    <t>结果：</t>
    <phoneticPr fontId="2" type="noConversion"/>
  </si>
  <si>
    <t>某超市销售系统根据交易发生的时间前后进行导出的销售记录</t>
    <phoneticPr fontId="2" type="noConversion"/>
  </si>
  <si>
    <t>T10</t>
  </si>
  <si>
    <t>T11</t>
  </si>
  <si>
    <t>无序查找</t>
    <phoneticPr fontId="2" type="noConversion"/>
  </si>
  <si>
    <t>茅台酒</t>
    <phoneticPr fontId="2" type="noConversion"/>
  </si>
  <si>
    <t>贵州茅台酒股份有限公司</t>
    <phoneticPr fontId="2" type="noConversion"/>
  </si>
  <si>
    <t>五粮液集团有限公司</t>
    <phoneticPr fontId="2" type="noConversion"/>
  </si>
  <si>
    <t>五粮液</t>
    <phoneticPr fontId="2" type="noConversion"/>
  </si>
  <si>
    <t>泸州老窖集团公司</t>
    <phoneticPr fontId="2" type="noConversion"/>
  </si>
  <si>
    <t>泸州老窖</t>
    <phoneticPr fontId="2" type="noConversion"/>
  </si>
  <si>
    <t>山西杏花村汾酒集团有限责任公司</t>
    <phoneticPr fontId="2" type="noConversion"/>
  </si>
  <si>
    <t>汾酒</t>
    <phoneticPr fontId="2" type="noConversion"/>
  </si>
  <si>
    <t>安徽古井贡酒股份有限公司</t>
    <phoneticPr fontId="2" type="noConversion"/>
  </si>
  <si>
    <t>古井贡酒</t>
    <phoneticPr fontId="2" type="noConversion"/>
  </si>
  <si>
    <t>四川剑南春集团有限责任公司</t>
    <phoneticPr fontId="2" type="noConversion"/>
  </si>
  <si>
    <t>剑南春</t>
    <phoneticPr fontId="2" type="noConversion"/>
  </si>
  <si>
    <t>陕西西凤酒股份有限公司</t>
    <phoneticPr fontId="2" type="noConversion"/>
  </si>
  <si>
    <t>西凤酒</t>
    <phoneticPr fontId="2" type="noConversion"/>
  </si>
  <si>
    <t>名酒</t>
    <phoneticPr fontId="2" type="noConversion"/>
  </si>
  <si>
    <t>排名</t>
    <phoneticPr fontId="2" type="noConversion"/>
  </si>
  <si>
    <t>贵州遵义董酒厂</t>
    <phoneticPr fontId="2" type="noConversion"/>
  </si>
  <si>
    <t>生产厂家</t>
    <phoneticPr fontId="2" type="noConversion"/>
  </si>
  <si>
    <t>名酒厂家目录</t>
    <phoneticPr fontId="2" type="noConversion"/>
  </si>
  <si>
    <t>郎酒</t>
    <phoneticPr fontId="2" type="noConversion"/>
  </si>
  <si>
    <t>提示：</t>
    <phoneticPr fontId="2" type="noConversion"/>
  </si>
  <si>
    <t>用LOOKUP，find，iferror函数根据名酒的名字，查找出生产厂家</t>
    <phoneticPr fontId="2" type="noConversion"/>
  </si>
  <si>
    <t>成绩</t>
    <phoneticPr fontId="2" type="noConversion"/>
  </si>
  <si>
    <t>李元群</t>
    <phoneticPr fontId="2" type="noConversion"/>
  </si>
  <si>
    <t>杨欣阳</t>
    <phoneticPr fontId="2" type="noConversion"/>
  </si>
  <si>
    <t>蒋芳</t>
    <phoneticPr fontId="2" type="noConversion"/>
  </si>
  <si>
    <t>褚天春</t>
    <phoneticPr fontId="2" type="noConversion"/>
  </si>
  <si>
    <t>孙翠翠</t>
    <phoneticPr fontId="2" type="noConversion"/>
  </si>
  <si>
    <t>卫凡</t>
    <phoneticPr fontId="2" type="noConversion"/>
  </si>
  <si>
    <t>徐丽</t>
    <phoneticPr fontId="2" type="noConversion"/>
  </si>
  <si>
    <t>曹兴</t>
    <phoneticPr fontId="2" type="noConversion"/>
  </si>
  <si>
    <t>秦淑芬</t>
    <phoneticPr fontId="2" type="noConversion"/>
  </si>
  <si>
    <t>不及格</t>
    <phoneticPr fontId="2" type="noConversion"/>
  </si>
  <si>
    <t>合格</t>
    <phoneticPr fontId="2" type="noConversion"/>
  </si>
  <si>
    <t>良好</t>
    <phoneticPr fontId="2" type="noConversion"/>
  </si>
  <si>
    <t>优秀</t>
    <phoneticPr fontId="2" type="noConversion"/>
  </si>
  <si>
    <t>中等</t>
    <phoneticPr fontId="2" type="noConversion"/>
  </si>
  <si>
    <t>等级划分明细表</t>
    <phoneticPr fontId="2" type="noConversion"/>
  </si>
  <si>
    <t>提示：用LOOKUP函数根据等级划分明细表求出A列学生对应的等级。</t>
    <phoneticPr fontId="2" type="noConversion"/>
  </si>
  <si>
    <t>日期</t>
    <phoneticPr fontId="2" type="noConversion"/>
  </si>
  <si>
    <t>金额</t>
    <phoneticPr fontId="2" type="noConversion"/>
  </si>
  <si>
    <t>张三</t>
    <phoneticPr fontId="2" type="noConversion"/>
  </si>
  <si>
    <t>李一</t>
    <phoneticPr fontId="2" type="noConversion"/>
  </si>
  <si>
    <t>陈柒</t>
    <phoneticPr fontId="2" type="noConversion"/>
  </si>
  <si>
    <t>{0;#VALUE!;-2;-3;#VALUE!;-5}</t>
    <phoneticPr fontId="2" type="noConversion"/>
  </si>
  <si>
    <t>重点提示:</t>
    <phoneticPr fontId="3" type="noConversion"/>
  </si>
  <si>
    <t>产品名称</t>
    <phoneticPr fontId="3" type="noConversion"/>
  </si>
  <si>
    <t>LOOKUP可以竖着查找,也可以横着查找. 并且没有限定查找区域一定要在结果区域的左边或者是上方。</t>
    <phoneticPr fontId="3" type="noConversion"/>
  </si>
  <si>
    <t>为什么LOOKUP函数查找区域中的值要按升序排序？</t>
    <phoneticPr fontId="2" type="noConversion"/>
  </si>
  <si>
    <t>重点提示：</t>
    <phoneticPr fontId="2" type="noConversion"/>
  </si>
  <si>
    <t>当查找区域里没找到与查找对象一致的值时，则从查找区域中找出与查找对象最接近的值，且该值不能大于查找对象</t>
    <phoneticPr fontId="2" type="noConversion"/>
  </si>
  <si>
    <t>查找区域里面的值要按升序放置，如果不是升序，LOOKUP仍然视为升序，最后可能得不到正确的结果。</t>
    <phoneticPr fontId="2" type="noConversion"/>
  </si>
  <si>
    <t>男</t>
    <phoneticPr fontId="2" type="noConversion"/>
  </si>
  <si>
    <t>年龄</t>
    <phoneticPr fontId="2" type="noConversion"/>
  </si>
  <si>
    <t>名族</t>
    <phoneticPr fontId="2" type="noConversion"/>
  </si>
  <si>
    <t>汉</t>
    <phoneticPr fontId="2" type="noConversion"/>
  </si>
  <si>
    <t>李四</t>
    <phoneticPr fontId="2" type="noConversion"/>
  </si>
  <si>
    <t>王五</t>
    <phoneticPr fontId="2" type="noConversion"/>
  </si>
  <si>
    <t>满</t>
    <phoneticPr fontId="2" type="noConversion"/>
  </si>
  <si>
    <t>二维转一维</t>
    <phoneticPr fontId="2" type="noConversion"/>
  </si>
  <si>
    <t>姓名</t>
  </si>
  <si>
    <t>性别</t>
  </si>
  <si>
    <t>年龄</t>
  </si>
  <si>
    <t>名族</t>
  </si>
  <si>
    <t>汉</t>
  </si>
  <si>
    <t>满</t>
  </si>
  <si>
    <t>效果图：</t>
    <phoneticPr fontId="2" type="noConversion"/>
  </si>
  <si>
    <t>答案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</si>
</sst>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scheme val="minor"/>
    </font>
    <font>
      <sz val="11"/>
      <color rgb="FF9C0006"/>
      <name val="等线"/>
      <family val="2"/>
      <charset val="134"/>
      <scheme val="minor"/>
    </font>
    <font>
      <sz val="9"/>
      <name val="等线"/>
      <family val="3"/>
      <charset val="134"/>
      <scheme val="minor"/>
    </font>
    <font>
      <sz val="9"/>
      <name val="等线"/>
      <family val="2"/>
      <charset val="134"/>
      <scheme val="minor"/>
    </font>
    <font>
      <b/>
      <sz val="20"/>
      <color theme="1"/>
      <name val="等线"/>
      <family val="3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C7CE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>
      <alignment vertical="center"/>
    </xf>
  </cellStyleXfs>
  <cellXfs count="15">
    <xf numFmtId="0" fontId="0" fillId="0" borderId="0" xfId="0"/>
    <xf numFmtId="0" fontId="0" fillId="3" borderId="1" xfId="0" applyFill="1" applyBorder="1" applyAlignment="1">
      <alignment horizontal="center" vertical="center"/>
    </xf>
    <xf numFmtId="0" fontId="0" fillId="3" borderId="1" xfId="0" applyFill="1" applyBorder="1" applyAlignment="1">
      <alignment vertical="center"/>
    </xf>
    <xf numFmtId="0" fontId="0" fillId="0" borderId="0" xfId="0" applyAlignment="1">
      <alignment vertical="center"/>
    </xf>
    <xf numFmtId="0" fontId="0" fillId="0" borderId="1" xfId="0" applyBorder="1" applyAlignment="1">
      <alignment horizontal="center" vertical="center"/>
    </xf>
    <xf numFmtId="0" fontId="0" fillId="0" borderId="1" xfId="0" applyBorder="1"/>
    <xf numFmtId="0" fontId="0" fillId="4" borderId="1" xfId="0" applyFill="1" applyBorder="1"/>
    <xf numFmtId="0" fontId="0" fillId="0" borderId="1" xfId="0" applyBorder="1" applyAlignment="1">
      <alignment horizontal="center"/>
    </xf>
    <xf numFmtId="0" fontId="1" fillId="2" borderId="1" xfId="1" applyBorder="1" applyAlignment="1"/>
    <xf numFmtId="0" fontId="0" fillId="4" borderId="1" xfId="0" applyFill="1" applyBorder="1" applyAlignment="1">
      <alignment horizontal="center"/>
    </xf>
    <xf numFmtId="0" fontId="0" fillId="4" borderId="1" xfId="0" applyFill="1" applyBorder="1" applyAlignment="1">
      <alignment horizontal="center" vertical="center"/>
    </xf>
    <xf numFmtId="0" fontId="1" fillId="2" borderId="1" xfId="1" applyBorder="1" applyAlignment="1">
      <alignment horizontal="center" vertical="center"/>
    </xf>
    <xf numFmtId="0" fontId="0" fillId="4" borderId="1" xfId="0" applyFill="1" applyBorder="1" applyAlignment="1">
      <alignment vertical="center"/>
    </xf>
    <xf numFmtId="0" fontId="0" fillId="0" borderId="0" xfId="0" quotePrefix="1"/>
    <xf numFmtId="0" fontId="4" fillId="0" borderId="1" xfId="0" applyFont="1" applyBorder="1" applyAlignment="1">
      <alignment horizontal="center"/>
    </xf>
  </cellXfs>
  <cellStyles count="2">
    <cellStyle name="差" xfId="1" builtinId="27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0"/>
  <sheetViews>
    <sheetView workbookViewId="0">
      <selection activeCell="H16" sqref="H16"/>
    </sheetView>
  </sheetViews>
  <sheetFormatPr defaultRowHeight="13.8" x14ac:dyDescent="0.25"/>
  <cols>
    <col min="4" max="5" width="10.33203125" customWidth="1"/>
  </cols>
  <sheetData>
    <row r="1" spans="1:12" x14ac:dyDescent="0.25">
      <c r="A1" s="10" t="s">
        <v>0</v>
      </c>
      <c r="B1" s="12" t="s">
        <v>116</v>
      </c>
      <c r="C1" s="3"/>
      <c r="D1" s="1" t="s">
        <v>0</v>
      </c>
      <c r="E1" s="2" t="s">
        <v>1</v>
      </c>
      <c r="J1" t="s">
        <v>137</v>
      </c>
      <c r="K1" s="1" t="s">
        <v>0</v>
      </c>
      <c r="L1" s="2" t="s">
        <v>1</v>
      </c>
    </row>
    <row r="2" spans="1:12" x14ac:dyDescent="0.25">
      <c r="A2" s="4">
        <v>1001</v>
      </c>
      <c r="B2" s="4" t="s">
        <v>2</v>
      </c>
      <c r="C2" s="3"/>
      <c r="D2" s="4">
        <v>1003</v>
      </c>
      <c r="E2" s="4" t="str">
        <f>VLOOKUP(D2,$A$2:$B$6,2,0)</f>
        <v>香蕉</v>
      </c>
      <c r="K2" s="4">
        <v>1003</v>
      </c>
      <c r="L2" s="4" t="str">
        <f>VLOOKUP(K2,A1:B6,2)</f>
        <v>香蕉</v>
      </c>
    </row>
    <row r="3" spans="1:12" x14ac:dyDescent="0.25">
      <c r="A3" s="4">
        <v>1002</v>
      </c>
      <c r="B3" s="4" t="s">
        <v>3</v>
      </c>
      <c r="C3" s="3"/>
      <c r="D3" s="3"/>
      <c r="E3" s="3"/>
    </row>
    <row r="4" spans="1:12" x14ac:dyDescent="0.25">
      <c r="A4" s="4">
        <v>1003</v>
      </c>
      <c r="B4" s="4" t="s">
        <v>4</v>
      </c>
      <c r="C4" s="3"/>
      <c r="D4" s="3"/>
      <c r="E4" s="3"/>
    </row>
    <row r="5" spans="1:12" x14ac:dyDescent="0.25">
      <c r="A5" s="4">
        <v>1004</v>
      </c>
      <c r="B5" s="4" t="s">
        <v>5</v>
      </c>
      <c r="C5" s="3"/>
      <c r="D5" s="3"/>
      <c r="E5" s="3"/>
    </row>
    <row r="6" spans="1:12" x14ac:dyDescent="0.25">
      <c r="A6" s="4">
        <v>1005</v>
      </c>
      <c r="B6" s="4" t="s">
        <v>6</v>
      </c>
      <c r="C6" s="3"/>
      <c r="D6" s="3"/>
      <c r="E6" s="3"/>
    </row>
    <row r="10" spans="1:12" x14ac:dyDescent="0.25">
      <c r="J10" t="s">
        <v>137</v>
      </c>
      <c r="K10" s="1" t="s">
        <v>0</v>
      </c>
      <c r="L10" s="2" t="s">
        <v>1</v>
      </c>
    </row>
    <row r="11" spans="1:12" x14ac:dyDescent="0.25">
      <c r="A11" s="10" t="s">
        <v>1</v>
      </c>
      <c r="B11" s="7" t="s">
        <v>24</v>
      </c>
      <c r="C11" s="7" t="s">
        <v>25</v>
      </c>
      <c r="D11" s="7" t="s">
        <v>26</v>
      </c>
      <c r="E11" s="7" t="s">
        <v>27</v>
      </c>
      <c r="F11" s="7" t="s">
        <v>28</v>
      </c>
      <c r="K11" s="4">
        <v>1003</v>
      </c>
      <c r="L11" s="4" t="e">
        <f>HLOOKUP(K11,I6:M7,2,0)</f>
        <v>#N/A</v>
      </c>
    </row>
    <row r="12" spans="1:12" x14ac:dyDescent="0.25">
      <c r="A12" s="10" t="s">
        <v>0</v>
      </c>
      <c r="B12" s="7">
        <v>1001</v>
      </c>
      <c r="C12" s="7">
        <v>1002</v>
      </c>
      <c r="D12" s="7">
        <v>1003</v>
      </c>
      <c r="E12" s="7">
        <v>1004</v>
      </c>
      <c r="F12" s="7">
        <v>1005</v>
      </c>
    </row>
    <row r="13" spans="1:12" x14ac:dyDescent="0.25">
      <c r="B13" s="7" t="s">
        <v>24</v>
      </c>
      <c r="C13" s="7" t="s">
        <v>25</v>
      </c>
      <c r="D13" s="7" t="s">
        <v>26</v>
      </c>
      <c r="E13" s="7" t="s">
        <v>27</v>
      </c>
      <c r="F13" s="7" t="s">
        <v>28</v>
      </c>
    </row>
    <row r="15" spans="1:12" x14ac:dyDescent="0.25">
      <c r="D15" s="1" t="s">
        <v>0</v>
      </c>
      <c r="E15" s="2" t="s">
        <v>1</v>
      </c>
    </row>
    <row r="16" spans="1:12" x14ac:dyDescent="0.25">
      <c r="D16" s="4">
        <v>1003</v>
      </c>
      <c r="E16" s="4" t="str">
        <f>HLOOKUP(D16,B12:F13,2,0)</f>
        <v>香蕉</v>
      </c>
    </row>
    <row r="20" spans="1:2" x14ac:dyDescent="0.25">
      <c r="A20" t="s">
        <v>115</v>
      </c>
      <c r="B20" t="s">
        <v>117</v>
      </c>
    </row>
  </sheetData>
  <phoneticPr fontId="3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20"/>
  <sheetViews>
    <sheetView workbookViewId="0">
      <selection activeCell="G3" sqref="G3"/>
    </sheetView>
  </sheetViews>
  <sheetFormatPr defaultRowHeight="13.8" x14ac:dyDescent="0.25"/>
  <cols>
    <col min="6" max="6" width="10.6640625" customWidth="1"/>
    <col min="7" max="7" width="10.44140625" customWidth="1"/>
  </cols>
  <sheetData>
    <row r="1" spans="1:7" x14ac:dyDescent="0.25">
      <c r="A1" t="s">
        <v>44</v>
      </c>
      <c r="B1" t="s">
        <v>118</v>
      </c>
    </row>
    <row r="2" spans="1:7" x14ac:dyDescent="0.25">
      <c r="B2" s="9" t="s">
        <v>33</v>
      </c>
      <c r="C2" s="9" t="s">
        <v>34</v>
      </c>
      <c r="F2" s="11" t="s">
        <v>33</v>
      </c>
      <c r="G2" s="11" t="s">
        <v>34</v>
      </c>
    </row>
    <row r="3" spans="1:7" x14ac:dyDescent="0.25">
      <c r="B3" s="7">
        <v>1</v>
      </c>
      <c r="C3" s="7" t="s">
        <v>35</v>
      </c>
      <c r="F3" s="4">
        <v>2</v>
      </c>
      <c r="G3" s="4" t="str">
        <f>LOOKUP(F3,B3:B13,C3:C13)</f>
        <v>T2</v>
      </c>
    </row>
    <row r="4" spans="1:7" x14ac:dyDescent="0.25">
      <c r="B4" s="7">
        <v>2</v>
      </c>
      <c r="C4" s="7" t="s">
        <v>36</v>
      </c>
    </row>
    <row r="5" spans="1:7" x14ac:dyDescent="0.25">
      <c r="B5" s="7">
        <v>3</v>
      </c>
      <c r="C5" s="7" t="s">
        <v>37</v>
      </c>
    </row>
    <row r="6" spans="1:7" x14ac:dyDescent="0.25">
      <c r="B6" s="7">
        <v>4</v>
      </c>
      <c r="C6" s="7" t="s">
        <v>38</v>
      </c>
    </row>
    <row r="7" spans="1:7" x14ac:dyDescent="0.25">
      <c r="B7" s="7">
        <v>5</v>
      </c>
      <c r="C7" s="7" t="s">
        <v>39</v>
      </c>
    </row>
    <row r="8" spans="1:7" x14ac:dyDescent="0.25">
      <c r="B8" s="7">
        <v>6</v>
      </c>
      <c r="C8" s="7" t="s">
        <v>40</v>
      </c>
    </row>
    <row r="9" spans="1:7" x14ac:dyDescent="0.25">
      <c r="B9" s="7">
        <v>7</v>
      </c>
      <c r="C9" s="7" t="s">
        <v>41</v>
      </c>
    </row>
    <row r="10" spans="1:7" x14ac:dyDescent="0.25">
      <c r="B10" s="7">
        <v>8</v>
      </c>
      <c r="C10" s="7" t="s">
        <v>42</v>
      </c>
    </row>
    <row r="11" spans="1:7" x14ac:dyDescent="0.25">
      <c r="B11" s="7">
        <v>9</v>
      </c>
      <c r="C11" s="7" t="s">
        <v>43</v>
      </c>
    </row>
    <row r="12" spans="1:7" x14ac:dyDescent="0.25">
      <c r="B12" s="7">
        <v>10</v>
      </c>
      <c r="C12" s="7" t="s">
        <v>67</v>
      </c>
    </row>
    <row r="13" spans="1:7" x14ac:dyDescent="0.25">
      <c r="B13" s="7">
        <v>11</v>
      </c>
      <c r="C13" s="7" t="s">
        <v>68</v>
      </c>
    </row>
    <row r="19" spans="1:2" x14ac:dyDescent="0.25">
      <c r="A19" t="s">
        <v>32</v>
      </c>
      <c r="B19" t="s">
        <v>121</v>
      </c>
    </row>
    <row r="20" spans="1:2" x14ac:dyDescent="0.25">
      <c r="B20" t="s">
        <v>120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20"/>
  <sheetViews>
    <sheetView workbookViewId="0">
      <selection activeCell="E17" sqref="E17"/>
    </sheetView>
  </sheetViews>
  <sheetFormatPr defaultRowHeight="13.8" x14ac:dyDescent="0.25"/>
  <sheetData>
    <row r="1" spans="1:9" ht="25.2" x14ac:dyDescent="0.45">
      <c r="A1" s="14" t="s">
        <v>23</v>
      </c>
      <c r="B1" s="14"/>
      <c r="C1" s="14"/>
      <c r="D1" s="14"/>
      <c r="E1" s="14"/>
      <c r="F1" s="14"/>
      <c r="G1" s="14"/>
      <c r="I1" t="s">
        <v>69</v>
      </c>
    </row>
    <row r="2" spans="1:9" x14ac:dyDescent="0.25">
      <c r="A2" s="6" t="s">
        <v>30</v>
      </c>
      <c r="B2" s="6" t="s">
        <v>7</v>
      </c>
      <c r="C2" s="6" t="s">
        <v>8</v>
      </c>
      <c r="D2" s="6" t="s">
        <v>19</v>
      </c>
      <c r="E2" s="6" t="s">
        <v>20</v>
      </c>
      <c r="F2" s="6" t="s">
        <v>21</v>
      </c>
      <c r="G2" s="6" t="s">
        <v>22</v>
      </c>
    </row>
    <row r="3" spans="1:9" x14ac:dyDescent="0.25">
      <c r="A3" s="5" t="s">
        <v>31</v>
      </c>
      <c r="B3" s="5" t="s">
        <v>15</v>
      </c>
      <c r="C3" s="5" t="s">
        <v>17</v>
      </c>
      <c r="D3" s="5">
        <v>117</v>
      </c>
      <c r="E3" s="5">
        <v>85</v>
      </c>
      <c r="F3" s="5">
        <v>76</v>
      </c>
      <c r="G3" s="5">
        <f>SUM(D3:F3)</f>
        <v>278</v>
      </c>
    </row>
    <row r="4" spans="1:9" x14ac:dyDescent="0.25">
      <c r="A4" s="5" t="s">
        <v>31</v>
      </c>
      <c r="B4" s="5" t="s">
        <v>14</v>
      </c>
      <c r="C4" s="5" t="s">
        <v>17</v>
      </c>
      <c r="D4" s="5">
        <v>75</v>
      </c>
      <c r="E4" s="5">
        <v>95</v>
      </c>
      <c r="F4" s="5">
        <v>110</v>
      </c>
      <c r="G4" s="5">
        <f>SUM(D4:F4)</f>
        <v>280</v>
      </c>
    </row>
    <row r="5" spans="1:9" x14ac:dyDescent="0.25">
      <c r="A5" s="5" t="s">
        <v>31</v>
      </c>
      <c r="B5" s="5" t="s">
        <v>29</v>
      </c>
      <c r="C5" s="5" t="s">
        <v>17</v>
      </c>
      <c r="D5" s="5">
        <v>75</v>
      </c>
      <c r="E5" s="5">
        <v>133</v>
      </c>
      <c r="F5" s="5">
        <v>88</v>
      </c>
      <c r="G5" s="5">
        <f>SUM(D5:F5)</f>
        <v>296</v>
      </c>
    </row>
    <row r="6" spans="1:9" x14ac:dyDescent="0.25">
      <c r="A6" s="5" t="s">
        <v>31</v>
      </c>
      <c r="B6" s="5" t="s">
        <v>10</v>
      </c>
      <c r="C6" s="5" t="s">
        <v>17</v>
      </c>
      <c r="D6" s="5">
        <v>87</v>
      </c>
      <c r="E6" s="5">
        <v>76</v>
      </c>
      <c r="F6" s="5">
        <v>135</v>
      </c>
      <c r="G6" s="5">
        <f>SUM(D6:F6)</f>
        <v>298</v>
      </c>
    </row>
    <row r="7" spans="1:9" x14ac:dyDescent="0.25">
      <c r="A7" s="5" t="s">
        <v>31</v>
      </c>
      <c r="B7" s="5" t="s">
        <v>11</v>
      </c>
      <c r="C7" s="5" t="s">
        <v>17</v>
      </c>
      <c r="D7" s="5">
        <v>85</v>
      </c>
      <c r="E7" s="5">
        <v>76</v>
      </c>
      <c r="F7" s="5">
        <v>137</v>
      </c>
      <c r="G7" s="5">
        <f>SUM(D7:F7)</f>
        <v>298</v>
      </c>
    </row>
    <row r="8" spans="1:9" x14ac:dyDescent="0.25">
      <c r="A8" s="5" t="s">
        <v>31</v>
      </c>
      <c r="B8" s="5" t="s">
        <v>16</v>
      </c>
      <c r="C8" s="5" t="s">
        <v>17</v>
      </c>
      <c r="D8" s="5">
        <v>80</v>
      </c>
      <c r="E8" s="5">
        <v>111</v>
      </c>
      <c r="F8" s="5">
        <v>128</v>
      </c>
      <c r="G8" s="5">
        <f>SUM(D8:F8)</f>
        <v>319</v>
      </c>
    </row>
    <row r="9" spans="1:9" x14ac:dyDescent="0.25">
      <c r="A9" s="5" t="s">
        <v>31</v>
      </c>
      <c r="B9" s="5" t="s">
        <v>12</v>
      </c>
      <c r="C9" s="5" t="s">
        <v>18</v>
      </c>
      <c r="D9" s="5">
        <v>113</v>
      </c>
      <c r="E9" s="5">
        <v>140</v>
      </c>
      <c r="F9" s="5">
        <v>113</v>
      </c>
      <c r="G9" s="5">
        <f>SUM(D9:F9)</f>
        <v>366</v>
      </c>
    </row>
    <row r="10" spans="1:9" x14ac:dyDescent="0.25">
      <c r="A10" s="5" t="s">
        <v>31</v>
      </c>
      <c r="B10" s="5" t="s">
        <v>13</v>
      </c>
      <c r="C10" s="5" t="s">
        <v>18</v>
      </c>
      <c r="D10" s="5">
        <v>120</v>
      </c>
      <c r="E10" s="5">
        <v>130</v>
      </c>
      <c r="F10" s="5">
        <v>137</v>
      </c>
      <c r="G10" s="5">
        <f>SUM(D10:F10)</f>
        <v>387</v>
      </c>
    </row>
    <row r="11" spans="1:9" x14ac:dyDescent="0.25">
      <c r="A11" s="5" t="s">
        <v>31</v>
      </c>
      <c r="B11" s="5" t="s">
        <v>9</v>
      </c>
      <c r="C11" s="5" t="s">
        <v>17</v>
      </c>
      <c r="D11" s="5">
        <v>142</v>
      </c>
      <c r="E11" s="5">
        <v>122</v>
      </c>
      <c r="F11" s="5">
        <v>150</v>
      </c>
      <c r="G11" s="5">
        <f>SUM(D11:F11)</f>
        <v>414</v>
      </c>
    </row>
    <row r="15" spans="1:9" x14ac:dyDescent="0.25">
      <c r="C15" s="8" t="s">
        <v>7</v>
      </c>
      <c r="D15" s="5" t="s">
        <v>29</v>
      </c>
    </row>
    <row r="16" spans="1:9" x14ac:dyDescent="0.25">
      <c r="C16" s="8" t="s">
        <v>22</v>
      </c>
      <c r="D16" s="5">
        <f>LOOKUP(D15,B3:B11,G3:G11)</f>
        <v>296</v>
      </c>
      <c r="E16">
        <f>VLOOKUP(D15,B3:G11,6,0)</f>
        <v>296</v>
      </c>
    </row>
    <row r="20" spans="1:2" x14ac:dyDescent="0.25">
      <c r="A20" t="s">
        <v>119</v>
      </c>
      <c r="B20" t="s">
        <v>120</v>
      </c>
    </row>
  </sheetData>
  <sortState xmlns:xlrd2="http://schemas.microsoft.com/office/spreadsheetml/2017/richdata2" ref="A3:G11">
    <sortCondition ref="G3:G11"/>
  </sortState>
  <mergeCells count="1">
    <mergeCell ref="A1:G1"/>
  </mergeCells>
  <phoneticPr fontId="2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7"/>
  <sheetViews>
    <sheetView tabSelected="1" workbookViewId="0">
      <selection activeCell="O13" sqref="O13"/>
    </sheetView>
  </sheetViews>
  <sheetFormatPr defaultRowHeight="13.8" x14ac:dyDescent="0.25"/>
  <sheetData>
    <row r="1" spans="1:5" x14ac:dyDescent="0.25">
      <c r="A1" t="s">
        <v>66</v>
      </c>
    </row>
    <row r="4" spans="1:5" x14ac:dyDescent="0.25">
      <c r="A4" s="6" t="s">
        <v>49</v>
      </c>
      <c r="B4" s="6" t="s">
        <v>45</v>
      </c>
      <c r="C4" s="6" t="s">
        <v>47</v>
      </c>
      <c r="D4" s="6" t="s">
        <v>46</v>
      </c>
      <c r="E4" s="6" t="s">
        <v>48</v>
      </c>
    </row>
    <row r="5" spans="1:5" x14ac:dyDescent="0.25">
      <c r="A5" s="5">
        <v>4</v>
      </c>
      <c r="B5" s="5" t="s">
        <v>53</v>
      </c>
      <c r="C5" s="5" t="s">
        <v>58</v>
      </c>
      <c r="D5" s="5" t="s">
        <v>59</v>
      </c>
      <c r="E5" s="5">
        <v>14</v>
      </c>
    </row>
    <row r="6" spans="1:5" x14ac:dyDescent="0.25">
      <c r="A6" s="5">
        <v>2</v>
      </c>
      <c r="B6" s="5" t="s">
        <v>53</v>
      </c>
      <c r="C6" s="5" t="s">
        <v>54</v>
      </c>
      <c r="D6" s="5" t="s">
        <v>55</v>
      </c>
      <c r="E6" s="5">
        <v>18</v>
      </c>
    </row>
    <row r="7" spans="1:5" x14ac:dyDescent="0.25">
      <c r="A7" s="5">
        <v>1</v>
      </c>
      <c r="B7" s="5" t="s">
        <v>50</v>
      </c>
      <c r="C7" s="5" t="s">
        <v>51</v>
      </c>
      <c r="D7" s="5" t="s">
        <v>52</v>
      </c>
      <c r="E7" s="5">
        <v>20</v>
      </c>
    </row>
    <row r="8" spans="1:5" x14ac:dyDescent="0.25">
      <c r="A8" s="5">
        <v>3</v>
      </c>
      <c r="B8" s="5" t="s">
        <v>56</v>
      </c>
      <c r="C8" s="5" t="s">
        <v>51</v>
      </c>
      <c r="D8" s="5" t="s">
        <v>57</v>
      </c>
      <c r="E8" s="5">
        <v>22</v>
      </c>
    </row>
    <row r="9" spans="1:5" x14ac:dyDescent="0.25">
      <c r="A9" s="5">
        <v>6</v>
      </c>
      <c r="B9" s="5" t="s">
        <v>53</v>
      </c>
      <c r="C9" s="5" t="s">
        <v>54</v>
      </c>
      <c r="D9" s="5" t="s">
        <v>55</v>
      </c>
      <c r="E9" s="5">
        <v>50</v>
      </c>
    </row>
    <row r="10" spans="1:5" x14ac:dyDescent="0.25">
      <c r="A10" s="5">
        <v>7</v>
      </c>
      <c r="B10" s="5" t="s">
        <v>50</v>
      </c>
      <c r="C10" s="5" t="s">
        <v>54</v>
      </c>
      <c r="D10" s="5" t="s">
        <v>52</v>
      </c>
      <c r="E10" s="5">
        <v>110</v>
      </c>
    </row>
    <row r="11" spans="1:5" x14ac:dyDescent="0.25">
      <c r="A11" s="5">
        <v>5</v>
      </c>
      <c r="B11" s="5" t="s">
        <v>60</v>
      </c>
      <c r="C11" s="5" t="s">
        <v>54</v>
      </c>
      <c r="D11" s="5" t="s">
        <v>61</v>
      </c>
      <c r="E11" s="5">
        <v>400</v>
      </c>
    </row>
    <row r="12" spans="1:5" x14ac:dyDescent="0.25">
      <c r="A12" s="5">
        <v>8</v>
      </c>
      <c r="B12" s="5" t="s">
        <v>62</v>
      </c>
      <c r="C12" s="5" t="s">
        <v>51</v>
      </c>
      <c r="D12" s="5" t="s">
        <v>63</v>
      </c>
      <c r="E12" s="5">
        <v>780</v>
      </c>
    </row>
    <row r="15" spans="1:5" x14ac:dyDescent="0.25">
      <c r="A15" t="s">
        <v>64</v>
      </c>
    </row>
    <row r="16" spans="1:5" x14ac:dyDescent="0.25">
      <c r="A16" s="5" t="s">
        <v>54</v>
      </c>
      <c r="B16" s="5" t="s">
        <v>55</v>
      </c>
      <c r="C16" s="5" t="s">
        <v>53</v>
      </c>
    </row>
    <row r="17" spans="1:2" x14ac:dyDescent="0.25">
      <c r="A17" s="8" t="s">
        <v>65</v>
      </c>
      <c r="B17" s="5"/>
    </row>
  </sheetData>
  <sortState xmlns:xlrd2="http://schemas.microsoft.com/office/spreadsheetml/2017/richdata2" ref="A5:E12">
    <sortCondition ref="E5:E12"/>
  </sortState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17"/>
  <sheetViews>
    <sheetView workbookViewId="0">
      <selection activeCell="E13" sqref="E13"/>
    </sheetView>
  </sheetViews>
  <sheetFormatPr defaultRowHeight="13.8" x14ac:dyDescent="0.25"/>
  <cols>
    <col min="3" max="3" width="30.44140625" customWidth="1"/>
    <col min="5" max="5" width="31.33203125" customWidth="1"/>
  </cols>
  <sheetData>
    <row r="1" spans="1:5" x14ac:dyDescent="0.25">
      <c r="A1" s="5" t="s">
        <v>84</v>
      </c>
      <c r="B1" s="5" t="s">
        <v>85</v>
      </c>
      <c r="C1" s="5" t="s">
        <v>87</v>
      </c>
      <c r="E1" s="5" t="s">
        <v>88</v>
      </c>
    </row>
    <row r="2" spans="1:5" x14ac:dyDescent="0.25">
      <c r="A2" s="5" t="s">
        <v>70</v>
      </c>
      <c r="B2" s="5">
        <v>1</v>
      </c>
      <c r="C2" s="5"/>
      <c r="E2" s="5" t="s">
        <v>78</v>
      </c>
    </row>
    <row r="3" spans="1:5" x14ac:dyDescent="0.25">
      <c r="A3" s="5" t="s">
        <v>73</v>
      </c>
      <c r="B3" s="5">
        <v>2</v>
      </c>
      <c r="C3" s="5"/>
      <c r="E3" s="5" t="s">
        <v>86</v>
      </c>
    </row>
    <row r="4" spans="1:5" x14ac:dyDescent="0.25">
      <c r="A4" s="5" t="s">
        <v>75</v>
      </c>
      <c r="B4" s="5">
        <v>3</v>
      </c>
      <c r="C4" s="5"/>
      <c r="E4" s="5" t="s">
        <v>72</v>
      </c>
    </row>
    <row r="5" spans="1:5" x14ac:dyDescent="0.25">
      <c r="A5" s="5" t="s">
        <v>77</v>
      </c>
      <c r="B5" s="5">
        <v>4</v>
      </c>
      <c r="C5" s="5"/>
      <c r="E5" s="5" t="s">
        <v>74</v>
      </c>
    </row>
    <row r="6" spans="1:5" x14ac:dyDescent="0.25">
      <c r="A6" s="5" t="s">
        <v>79</v>
      </c>
      <c r="B6" s="5">
        <v>5</v>
      </c>
      <c r="C6" s="5"/>
      <c r="E6" s="5" t="s">
        <v>76</v>
      </c>
    </row>
    <row r="7" spans="1:5" x14ac:dyDescent="0.25">
      <c r="A7" s="5" t="s">
        <v>83</v>
      </c>
      <c r="B7" s="5">
        <v>6</v>
      </c>
      <c r="C7" s="5"/>
      <c r="E7" s="5" t="s">
        <v>71</v>
      </c>
    </row>
    <row r="8" spans="1:5" x14ac:dyDescent="0.25">
      <c r="A8" s="5" t="s">
        <v>81</v>
      </c>
      <c r="B8" s="5">
        <v>8</v>
      </c>
      <c r="C8" s="5"/>
      <c r="E8" s="5" t="s">
        <v>82</v>
      </c>
    </row>
    <row r="9" spans="1:5" x14ac:dyDescent="0.25">
      <c r="A9" s="5" t="s">
        <v>89</v>
      </c>
      <c r="B9" s="5">
        <v>7</v>
      </c>
      <c r="C9" s="5"/>
      <c r="E9" s="5" t="s">
        <v>80</v>
      </c>
    </row>
    <row r="17" spans="1:2" x14ac:dyDescent="0.25">
      <c r="A17" t="s">
        <v>90</v>
      </c>
      <c r="B17" t="s">
        <v>91</v>
      </c>
    </row>
  </sheetData>
  <phoneticPr fontId="2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17"/>
  <sheetViews>
    <sheetView workbookViewId="0">
      <selection activeCell="F10" sqref="F10"/>
    </sheetView>
  </sheetViews>
  <sheetFormatPr defaultRowHeight="13.8" x14ac:dyDescent="0.25"/>
  <sheetData>
    <row r="1" spans="1:8" x14ac:dyDescent="0.25">
      <c r="A1" s="6" t="s">
        <v>7</v>
      </c>
      <c r="B1" s="6" t="s">
        <v>92</v>
      </c>
      <c r="C1" s="6" t="s">
        <v>47</v>
      </c>
      <c r="G1" t="s">
        <v>107</v>
      </c>
    </row>
    <row r="2" spans="1:8" x14ac:dyDescent="0.25">
      <c r="A2" s="5" t="s">
        <v>93</v>
      </c>
      <c r="B2" s="5">
        <v>81</v>
      </c>
      <c r="C2" s="5"/>
      <c r="G2" s="5">
        <v>0</v>
      </c>
      <c r="H2" s="5" t="s">
        <v>102</v>
      </c>
    </row>
    <row r="3" spans="1:8" x14ac:dyDescent="0.25">
      <c r="A3" s="5" t="s">
        <v>94</v>
      </c>
      <c r="B3" s="5">
        <v>99</v>
      </c>
      <c r="C3" s="5"/>
      <c r="G3" s="5">
        <v>60</v>
      </c>
      <c r="H3" s="5" t="s">
        <v>103</v>
      </c>
    </row>
    <row r="4" spans="1:8" x14ac:dyDescent="0.25">
      <c r="A4" s="5" t="s">
        <v>95</v>
      </c>
      <c r="B4" s="5">
        <v>97</v>
      </c>
      <c r="C4" s="5"/>
      <c r="G4" s="5">
        <v>70</v>
      </c>
      <c r="H4" s="5" t="s">
        <v>104</v>
      </c>
    </row>
    <row r="5" spans="1:8" x14ac:dyDescent="0.25">
      <c r="A5" s="5" t="s">
        <v>96</v>
      </c>
      <c r="B5" s="5">
        <v>96</v>
      </c>
      <c r="C5" s="5"/>
      <c r="G5" s="5">
        <v>80</v>
      </c>
      <c r="H5" s="5" t="s">
        <v>106</v>
      </c>
    </row>
    <row r="6" spans="1:8" x14ac:dyDescent="0.25">
      <c r="A6" s="5" t="s">
        <v>97</v>
      </c>
      <c r="B6" s="5">
        <v>78</v>
      </c>
      <c r="C6" s="5"/>
      <c r="G6" s="5">
        <v>90</v>
      </c>
      <c r="H6" s="5" t="s">
        <v>105</v>
      </c>
    </row>
    <row r="7" spans="1:8" x14ac:dyDescent="0.25">
      <c r="A7" s="5" t="s">
        <v>98</v>
      </c>
      <c r="B7" s="5">
        <v>57</v>
      </c>
      <c r="C7" s="5"/>
    </row>
    <row r="8" spans="1:8" x14ac:dyDescent="0.25">
      <c r="A8" s="5" t="s">
        <v>99</v>
      </c>
      <c r="B8" s="5">
        <v>76</v>
      </c>
      <c r="C8" s="5"/>
    </row>
    <row r="9" spans="1:8" x14ac:dyDescent="0.25">
      <c r="A9" s="5" t="s">
        <v>100</v>
      </c>
      <c r="B9" s="5">
        <v>99</v>
      </c>
      <c r="C9" s="5"/>
    </row>
    <row r="10" spans="1:8" x14ac:dyDescent="0.25">
      <c r="A10" s="5" t="s">
        <v>101</v>
      </c>
      <c r="B10" s="5">
        <v>53</v>
      </c>
      <c r="C10" s="5"/>
    </row>
    <row r="17" spans="1:1" x14ac:dyDescent="0.25">
      <c r="A17" t="s">
        <v>108</v>
      </c>
    </row>
  </sheetData>
  <phoneticPr fontId="2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M13"/>
  <sheetViews>
    <sheetView workbookViewId="0">
      <selection activeCell="I11" sqref="I11"/>
    </sheetView>
  </sheetViews>
  <sheetFormatPr defaultRowHeight="13.8" x14ac:dyDescent="0.25"/>
  <sheetData>
    <row r="1" spans="1:13" x14ac:dyDescent="0.25">
      <c r="E1" t="s">
        <v>129</v>
      </c>
    </row>
    <row r="2" spans="1:13" x14ac:dyDescent="0.25">
      <c r="A2" s="7">
        <v>1</v>
      </c>
      <c r="B2" s="7" t="s">
        <v>7</v>
      </c>
      <c r="C2" s="7" t="s">
        <v>111</v>
      </c>
      <c r="H2" t="s">
        <v>136</v>
      </c>
      <c r="M2" s="13"/>
    </row>
    <row r="3" spans="1:13" x14ac:dyDescent="0.25">
      <c r="A3" s="7">
        <v>1</v>
      </c>
      <c r="B3" s="7" t="s">
        <v>8</v>
      </c>
      <c r="C3" s="7" t="s">
        <v>122</v>
      </c>
      <c r="I3" s="5"/>
      <c r="J3" s="5" t="s">
        <v>130</v>
      </c>
      <c r="K3" s="5" t="s">
        <v>131</v>
      </c>
      <c r="L3" s="5" t="s">
        <v>132</v>
      </c>
      <c r="M3" s="5" t="s">
        <v>133</v>
      </c>
    </row>
    <row r="4" spans="1:13" x14ac:dyDescent="0.25">
      <c r="A4" s="7">
        <v>1</v>
      </c>
      <c r="B4" s="7" t="s">
        <v>123</v>
      </c>
      <c r="C4" s="7">
        <v>12</v>
      </c>
      <c r="I4" s="5">
        <v>1</v>
      </c>
      <c r="J4" s="5" t="s">
        <v>134</v>
      </c>
      <c r="K4" s="5" t="s">
        <v>134</v>
      </c>
      <c r="L4" s="5" t="s">
        <v>134</v>
      </c>
      <c r="M4" s="5" t="s">
        <v>134</v>
      </c>
    </row>
    <row r="5" spans="1:13" x14ac:dyDescent="0.25">
      <c r="A5" s="7">
        <v>1</v>
      </c>
      <c r="B5" s="7" t="s">
        <v>124</v>
      </c>
      <c r="C5" s="7" t="s">
        <v>125</v>
      </c>
      <c r="I5" s="5">
        <v>2</v>
      </c>
      <c r="J5" s="5" t="s">
        <v>134</v>
      </c>
      <c r="K5" s="5" t="s">
        <v>134</v>
      </c>
      <c r="L5" s="5" t="s">
        <v>134</v>
      </c>
      <c r="M5" s="5" t="s">
        <v>134</v>
      </c>
    </row>
    <row r="6" spans="1:13" x14ac:dyDescent="0.25">
      <c r="A6" s="7">
        <v>2</v>
      </c>
      <c r="B6" s="7" t="s">
        <v>7</v>
      </c>
      <c r="C6" s="7" t="s">
        <v>126</v>
      </c>
      <c r="I6" s="5">
        <v>3</v>
      </c>
      <c r="J6" s="5" t="s">
        <v>135</v>
      </c>
      <c r="K6" s="5" t="s">
        <v>135</v>
      </c>
      <c r="L6" s="5" t="s">
        <v>135</v>
      </c>
      <c r="M6" s="5" t="s">
        <v>135</v>
      </c>
    </row>
    <row r="7" spans="1:13" x14ac:dyDescent="0.25">
      <c r="A7" s="7">
        <v>2</v>
      </c>
      <c r="B7" s="7" t="s">
        <v>8</v>
      </c>
      <c r="C7" s="7" t="s">
        <v>17</v>
      </c>
    </row>
    <row r="8" spans="1:13" x14ac:dyDescent="0.25">
      <c r="A8" s="7">
        <v>2</v>
      </c>
      <c r="B8" s="7" t="s">
        <v>123</v>
      </c>
      <c r="C8" s="7">
        <v>18</v>
      </c>
    </row>
    <row r="9" spans="1:13" x14ac:dyDescent="0.25">
      <c r="A9" s="7">
        <v>2</v>
      </c>
      <c r="B9" s="7" t="s">
        <v>124</v>
      </c>
      <c r="C9" s="7" t="s">
        <v>125</v>
      </c>
    </row>
    <row r="10" spans="1:13" x14ac:dyDescent="0.25">
      <c r="A10" s="7">
        <v>3</v>
      </c>
      <c r="B10" s="7" t="s">
        <v>7</v>
      </c>
      <c r="C10" s="7" t="s">
        <v>127</v>
      </c>
    </row>
    <row r="11" spans="1:13" x14ac:dyDescent="0.25">
      <c r="A11" s="7">
        <v>3</v>
      </c>
      <c r="B11" s="7" t="s">
        <v>8</v>
      </c>
      <c r="C11" s="7" t="s">
        <v>17</v>
      </c>
    </row>
    <row r="12" spans="1:13" x14ac:dyDescent="0.25">
      <c r="A12" s="7">
        <v>3</v>
      </c>
      <c r="B12" s="7" t="s">
        <v>123</v>
      </c>
      <c r="C12" s="7">
        <v>25</v>
      </c>
    </row>
    <row r="13" spans="1:13" x14ac:dyDescent="0.25">
      <c r="A13" s="7">
        <v>3</v>
      </c>
      <c r="B13" s="7" t="s">
        <v>124</v>
      </c>
      <c r="C13" s="7" t="s">
        <v>128</v>
      </c>
    </row>
  </sheetData>
  <phoneticPr fontId="2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L17"/>
  <sheetViews>
    <sheetView workbookViewId="0">
      <selection activeCell="L11" sqref="L11"/>
    </sheetView>
  </sheetViews>
  <sheetFormatPr defaultRowHeight="13.8" x14ac:dyDescent="0.25"/>
  <sheetData>
    <row r="1" spans="1:12" x14ac:dyDescent="0.25">
      <c r="A1" t="s">
        <v>109</v>
      </c>
      <c r="B1" t="s">
        <v>7</v>
      </c>
      <c r="C1" t="s">
        <v>110</v>
      </c>
    </row>
    <row r="2" spans="1:12" x14ac:dyDescent="0.25">
      <c r="B2" t="s">
        <v>111</v>
      </c>
      <c r="C2">
        <v>900</v>
      </c>
      <c r="E2">
        <f>1-ROW(A1)</f>
        <v>0</v>
      </c>
      <c r="F2">
        <f>LOOKUP(1,0/FIND("张三",$B$2:$B$7,1),$C$2:$C$7)</f>
        <v>496</v>
      </c>
      <c r="G2">
        <f>LOOKUP(1-ROW(A1),FIND("张三",$B$2:$B$7,1)-ROW($A$1:$A$6),$C$2:$C$7)</f>
        <v>496</v>
      </c>
      <c r="H2">
        <v>0</v>
      </c>
      <c r="L2" t="str">
        <f>IF(LOOKUP(FIND("张三",$B$2:$B$7,1)+ROW($A$1:$A$6),FIND("张三",$B$2:$B$7,1)+ROW($A$1:$A$6),$C$2:$C$7),"是","否")</f>
        <v>是</v>
      </c>
    </row>
    <row r="3" spans="1:12" x14ac:dyDescent="0.25">
      <c r="B3" t="s">
        <v>112</v>
      </c>
      <c r="C3">
        <v>939</v>
      </c>
      <c r="E3">
        <f t="shared" ref="E3:E7" si="0">1-ROW(A2)</f>
        <v>-1</v>
      </c>
      <c r="G3">
        <f t="shared" ref="G3:G7" si="1">LOOKUP(1-ROW(A2),FIND("张三",$B$2:$B$7,1)-ROW($A$1:$A$6),$C$2:$C$7)</f>
        <v>496</v>
      </c>
      <c r="I3" t="s">
        <v>114</v>
      </c>
      <c r="L3">
        <f t="array" ref="L3">IFERROR(LOOKUP(FIND("张三",$B$2:$B$7,1)+ROW($A$1:$A$6),FIND("张三",$B$2:$B$7,1)+ROW($A$1:$A$6),$C$2:$C$7),"否")</f>
        <v>900</v>
      </c>
    </row>
    <row r="4" spans="1:12" x14ac:dyDescent="0.25">
      <c r="B4" t="s">
        <v>111</v>
      </c>
      <c r="C4">
        <v>602</v>
      </c>
      <c r="E4">
        <f t="shared" si="0"/>
        <v>-2</v>
      </c>
      <c r="G4">
        <f t="shared" si="1"/>
        <v>602</v>
      </c>
      <c r="H4">
        <v>-2</v>
      </c>
      <c r="L4">
        <f t="array" ref="L4">IFERROR(LOOKUP(FIND("张三",$B$2:$B$7,1)+ROW($A$1:$A$6),FIND("张三",$B$2:$B$7,1)+ROW($A$1:$A$6),$C$2:$C$7),"否")</f>
        <v>900</v>
      </c>
    </row>
    <row r="5" spans="1:12" x14ac:dyDescent="0.25">
      <c r="B5" t="s">
        <v>111</v>
      </c>
      <c r="C5">
        <v>856</v>
      </c>
      <c r="E5">
        <f t="shared" si="0"/>
        <v>-3</v>
      </c>
      <c r="G5" t="e">
        <f t="shared" si="1"/>
        <v>#N/A</v>
      </c>
      <c r="H5">
        <v>-3</v>
      </c>
      <c r="L5">
        <f t="array" ref="L5">IFERROR(LOOKUP(FIND("张三",$B$2:$B$7,1)+ROW($A$1:$A$6),FIND("张三",$B$2:$B$7,1)+ROW($A$1:$A$6),$C$2:$C$7),"否")</f>
        <v>900</v>
      </c>
    </row>
    <row r="6" spans="1:12" x14ac:dyDescent="0.25">
      <c r="B6" t="s">
        <v>113</v>
      </c>
      <c r="C6">
        <v>280</v>
      </c>
      <c r="E6">
        <f t="shared" si="0"/>
        <v>-4</v>
      </c>
      <c r="G6" t="e">
        <f t="shared" si="1"/>
        <v>#N/A</v>
      </c>
      <c r="L6">
        <f t="array" ref="L6">IFERROR(LOOKUP(FIND("张三",$B$2:$B$7,1)+ROW($A$1:$A$6),FIND("张三",$B$2:$B$7,1)+ROW($A$1:$A$6),$C$2:$C$7),"否")</f>
        <v>900</v>
      </c>
    </row>
    <row r="7" spans="1:12" x14ac:dyDescent="0.25">
      <c r="B7" t="s">
        <v>111</v>
      </c>
      <c r="C7">
        <v>496</v>
      </c>
      <c r="E7">
        <f t="shared" si="0"/>
        <v>-5</v>
      </c>
      <c r="G7" t="e">
        <f t="shared" si="1"/>
        <v>#N/A</v>
      </c>
      <c r="H7">
        <v>-5</v>
      </c>
      <c r="L7">
        <f t="array" ref="L7">IFERROR(LOOKUP(FIND("张三",$B$2:$B$7,1)+ROW($A$1:$A$6),FIND("张三",$B$2:$B$7,1)+ROW($A$1:$A$6),$C$2:$C$7),"否")</f>
        <v>900</v>
      </c>
    </row>
    <row r="11" spans="1:12" x14ac:dyDescent="0.25">
      <c r="E11">
        <f t="array" ref="E11">{1,2,3}</f>
        <v>1</v>
      </c>
    </row>
    <row r="12" spans="1:12" x14ac:dyDescent="0.25">
      <c r="H12">
        <f t="array" ref="H12:H14">{1,2,3}</f>
        <v>1</v>
      </c>
    </row>
    <row r="13" spans="1:12" x14ac:dyDescent="0.25">
      <c r="H13">
        <v>1</v>
      </c>
    </row>
    <row r="14" spans="1:12" x14ac:dyDescent="0.25">
      <c r="H14">
        <v>1</v>
      </c>
    </row>
    <row r="17" spans="5:5" x14ac:dyDescent="0.25">
      <c r="E17">
        <f t="array" ref="E17">{1,2,3}</f>
        <v>1</v>
      </c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练习题1</vt:lpstr>
      <vt:lpstr>练习题2</vt:lpstr>
      <vt:lpstr>练习题3</vt:lpstr>
      <vt:lpstr>练习题4</vt:lpstr>
      <vt:lpstr>练习题5</vt:lpstr>
      <vt:lpstr>练习题6</vt:lpstr>
      <vt:lpstr>练习题7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2024-10-23T15:47:54Z</dcterms:modified>
</cp:coreProperties>
</file>