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42DA56AA-71FD-4E7C-A66C-7D1E954412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练习题1" sheetId="1" r:id="rId1"/>
    <sheet name="练习题2" sheetId="2" r:id="rId2"/>
    <sheet name="练习题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3" l="1"/>
  <c r="H9" i="3"/>
  <c r="H7" i="3"/>
  <c r="G8" i="3"/>
  <c r="G9" i="3"/>
  <c r="G7" i="3"/>
  <c r="D4" i="2"/>
  <c r="D5" i="2"/>
  <c r="D6" i="2"/>
  <c r="D3" i="2"/>
  <c r="D4" i="1"/>
  <c r="D5" i="1"/>
  <c r="D6" i="1"/>
  <c r="D3" i="1"/>
  <c r="G21" i="3"/>
  <c r="H21" i="3" s="1"/>
  <c r="G20" i="3"/>
  <c r="H20" i="3" s="1"/>
  <c r="G19" i="3"/>
  <c r="H19" i="3" s="1"/>
  <c r="L7" i="2"/>
  <c r="L6" i="2"/>
  <c r="L5" i="2"/>
  <c r="L4" i="2"/>
  <c r="L7" i="1"/>
  <c r="L6" i="1"/>
  <c r="L5" i="1"/>
  <c r="L4" i="1"/>
</calcChain>
</file>

<file path=xl/sharedStrings.xml><?xml version="1.0" encoding="utf-8"?>
<sst xmlns="http://schemas.openxmlformats.org/spreadsheetml/2006/main" count="76" uniqueCount="37">
  <si>
    <t>采购计划表</t>
    <phoneticPr fontId="1" type="noConversion"/>
  </si>
  <si>
    <t>品名</t>
    <phoneticPr fontId="1" type="noConversion"/>
  </si>
  <si>
    <t>单价</t>
    <phoneticPr fontId="1" type="noConversion"/>
  </si>
  <si>
    <t>数量</t>
    <phoneticPr fontId="1" type="noConversion"/>
  </si>
  <si>
    <t>总价</t>
    <phoneticPr fontId="1" type="noConversion"/>
  </si>
  <si>
    <t>苹果</t>
    <phoneticPr fontId="1" type="noConversion"/>
  </si>
  <si>
    <t>梨</t>
    <phoneticPr fontId="1" type="noConversion"/>
  </si>
  <si>
    <t>核桃</t>
    <phoneticPr fontId="1" type="noConversion"/>
  </si>
  <si>
    <t>香蕉</t>
    <phoneticPr fontId="1" type="noConversion"/>
  </si>
  <si>
    <t>无</t>
    <phoneticPr fontId="1" type="noConversion"/>
  </si>
  <si>
    <r>
      <rPr>
        <sz val="12"/>
        <color theme="1"/>
        <rFont val="宋体"/>
        <family val="3"/>
        <charset val="134"/>
      </rPr>
      <t>客户类别</t>
    </r>
    <phoneticPr fontId="4" type="noConversion"/>
  </si>
  <si>
    <r>
      <rPr>
        <sz val="11"/>
        <color theme="1"/>
        <rFont val="宋体"/>
        <family val="3"/>
        <charset val="134"/>
      </rPr>
      <t>计划信贷额度（万）</t>
    </r>
    <phoneticPr fontId="4" type="noConversion"/>
  </si>
  <si>
    <r>
      <rPr>
        <sz val="11"/>
        <color theme="1"/>
        <rFont val="宋体"/>
        <family val="3"/>
        <charset val="134"/>
      </rPr>
      <t>实际完成额度（万）</t>
    </r>
    <phoneticPr fontId="4" type="noConversion"/>
  </si>
  <si>
    <r>
      <rPr>
        <sz val="12"/>
        <color theme="1"/>
        <rFont val="宋体"/>
        <family val="3"/>
        <charset val="134"/>
      </rPr>
      <t>完成率</t>
    </r>
    <phoneticPr fontId="4" type="noConversion"/>
  </si>
  <si>
    <r>
      <t>A</t>
    </r>
    <r>
      <rPr>
        <sz val="12"/>
        <color theme="1"/>
        <rFont val="宋体"/>
        <family val="3"/>
        <charset val="134"/>
      </rPr>
      <t>类</t>
    </r>
    <phoneticPr fontId="4" type="noConversion"/>
  </si>
  <si>
    <r>
      <t>B</t>
    </r>
    <r>
      <rPr>
        <sz val="12"/>
        <color theme="1"/>
        <rFont val="宋体"/>
        <family val="3"/>
        <charset val="134"/>
      </rPr>
      <t>类</t>
    </r>
    <phoneticPr fontId="4" type="noConversion"/>
  </si>
  <si>
    <r>
      <t>C</t>
    </r>
    <r>
      <rPr>
        <sz val="12"/>
        <color theme="1"/>
        <rFont val="宋体"/>
        <family val="3"/>
        <charset val="134"/>
      </rPr>
      <t>类</t>
    </r>
    <phoneticPr fontId="4" type="noConversion"/>
  </si>
  <si>
    <r>
      <t>D</t>
    </r>
    <r>
      <rPr>
        <sz val="12"/>
        <color theme="1"/>
        <rFont val="宋体"/>
        <family val="3"/>
        <charset val="134"/>
      </rPr>
      <t>类</t>
    </r>
    <phoneticPr fontId="4" type="noConversion"/>
  </si>
  <si>
    <r>
      <rPr>
        <sz val="12"/>
        <color theme="1"/>
        <rFont val="宋体"/>
        <family val="3"/>
        <charset val="134"/>
      </rPr>
      <t>完成率</t>
    </r>
    <r>
      <rPr>
        <sz val="12"/>
        <color theme="1"/>
        <rFont val="Arial"/>
        <family val="2"/>
      </rPr>
      <t>=</t>
    </r>
    <r>
      <rPr>
        <sz val="12"/>
        <color theme="1"/>
        <rFont val="宋体"/>
        <family val="3"/>
        <charset val="134"/>
      </rPr>
      <t>实际完成额度</t>
    </r>
    <r>
      <rPr>
        <sz val="12"/>
        <color theme="1"/>
        <rFont val="Arial"/>
        <family val="2"/>
      </rPr>
      <t>/</t>
    </r>
    <r>
      <rPr>
        <sz val="12"/>
        <color theme="1"/>
        <rFont val="宋体"/>
        <family val="3"/>
        <charset val="134"/>
      </rPr>
      <t>计划信贷额度</t>
    </r>
    <phoneticPr fontId="4" type="noConversion"/>
  </si>
  <si>
    <t>信贷任务考核表</t>
    <phoneticPr fontId="1" type="noConversion"/>
  </si>
  <si>
    <t>统计出已销售水果的总金额</t>
    <phoneticPr fontId="4" type="noConversion"/>
  </si>
  <si>
    <t>某超市的水果单价明细表</t>
    <phoneticPr fontId="4" type="noConversion"/>
  </si>
  <si>
    <t>表一：</t>
    <phoneticPr fontId="4" type="noConversion"/>
  </si>
  <si>
    <t>表二：</t>
    <phoneticPr fontId="4" type="noConversion"/>
  </si>
  <si>
    <t>水果名称</t>
    <phoneticPr fontId="4" type="noConversion"/>
  </si>
  <si>
    <t>单价·元/斤</t>
    <phoneticPr fontId="4" type="noConversion"/>
  </si>
  <si>
    <t>销售数量·斤</t>
    <phoneticPr fontId="4" type="noConversion"/>
  </si>
  <si>
    <t>单价</t>
    <phoneticPr fontId="4" type="noConversion"/>
  </si>
  <si>
    <t>总金额</t>
    <phoneticPr fontId="4" type="noConversion"/>
  </si>
  <si>
    <t>火龙果</t>
    <phoneticPr fontId="4" type="noConversion"/>
  </si>
  <si>
    <t>苹果</t>
    <phoneticPr fontId="4" type="noConversion"/>
  </si>
  <si>
    <t>枇杷</t>
    <phoneticPr fontId="4" type="noConversion"/>
  </si>
  <si>
    <t>桔子</t>
    <phoneticPr fontId="4" type="noConversion"/>
  </si>
  <si>
    <t>文旦柚</t>
    <phoneticPr fontId="4" type="noConversion"/>
  </si>
  <si>
    <t>答案</t>
    <phoneticPr fontId="1" type="noConversion"/>
  </si>
  <si>
    <t>单价用VLOOKUP函数取数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</si>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</sst>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b/>
      <sz val="12"/>
      <color theme="1"/>
      <name val="Arial"/>
      <family val="2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H21" sqref="H21"/>
    </sheetView>
  </sheetViews>
  <sheetFormatPr defaultRowHeight="13.8" x14ac:dyDescent="0.25"/>
  <sheetData>
    <row r="1" spans="1:12" x14ac:dyDescent="0.25">
      <c r="A1" s="13" t="s">
        <v>0</v>
      </c>
      <c r="B1" s="13"/>
      <c r="C1" s="13"/>
      <c r="D1" s="13"/>
      <c r="I1" t="s">
        <v>34</v>
      </c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I2" s="13" t="s">
        <v>0</v>
      </c>
      <c r="J2" s="13"/>
      <c r="K2" s="13"/>
      <c r="L2" s="13"/>
    </row>
    <row r="3" spans="1:12" x14ac:dyDescent="0.25">
      <c r="A3" s="1" t="s">
        <v>5</v>
      </c>
      <c r="B3" s="1">
        <v>5.5</v>
      </c>
      <c r="C3" s="1">
        <v>20</v>
      </c>
      <c r="D3" s="1">
        <f>IFERROR(B3*C3,NA())</f>
        <v>110</v>
      </c>
      <c r="I3" s="2" t="s">
        <v>1</v>
      </c>
      <c r="J3" s="2" t="s">
        <v>2</v>
      </c>
      <c r="K3" s="2" t="s">
        <v>3</v>
      </c>
      <c r="L3" s="2" t="s">
        <v>4</v>
      </c>
    </row>
    <row r="4" spans="1:12" x14ac:dyDescent="0.25">
      <c r="A4" s="1" t="s">
        <v>6</v>
      </c>
      <c r="B4" s="1">
        <v>4.5</v>
      </c>
      <c r="C4" s="1">
        <v>20</v>
      </c>
      <c r="D4" s="1">
        <f t="shared" ref="D4:D6" si="0">IFERROR(B4*C4,NA())</f>
        <v>90</v>
      </c>
      <c r="I4" s="1" t="s">
        <v>5</v>
      </c>
      <c r="J4" s="1">
        <v>5.5</v>
      </c>
      <c r="K4" s="1">
        <v>20</v>
      </c>
      <c r="L4" s="1">
        <f>IFERROR(J4*K4,)</f>
        <v>110</v>
      </c>
    </row>
    <row r="5" spans="1:12" x14ac:dyDescent="0.25">
      <c r="A5" s="1" t="s">
        <v>7</v>
      </c>
      <c r="B5" s="1" t="s">
        <v>9</v>
      </c>
      <c r="C5" s="1">
        <v>15</v>
      </c>
      <c r="D5" s="1" t="e">
        <f t="shared" si="0"/>
        <v>#N/A</v>
      </c>
      <c r="I5" s="1" t="s">
        <v>6</v>
      </c>
      <c r="J5" s="1">
        <v>4.5</v>
      </c>
      <c r="K5" s="1">
        <v>20</v>
      </c>
      <c r="L5" s="1">
        <f t="shared" ref="L5:L7" si="1">IFERROR(J5*K5,)</f>
        <v>90</v>
      </c>
    </row>
    <row r="6" spans="1:12" x14ac:dyDescent="0.25">
      <c r="A6" s="1" t="s">
        <v>8</v>
      </c>
      <c r="B6" s="1">
        <v>2.8</v>
      </c>
      <c r="C6" s="1">
        <v>50</v>
      </c>
      <c r="D6" s="1">
        <f t="shared" si="0"/>
        <v>140</v>
      </c>
      <c r="I6" s="1" t="s">
        <v>7</v>
      </c>
      <c r="J6" s="1" t="s">
        <v>9</v>
      </c>
      <c r="K6" s="1">
        <v>15</v>
      </c>
      <c r="L6" s="1">
        <f t="shared" si="1"/>
        <v>0</v>
      </c>
    </row>
    <row r="7" spans="1:12" x14ac:dyDescent="0.25">
      <c r="I7" s="1" t="s">
        <v>8</v>
      </c>
      <c r="J7" s="1">
        <v>2.8</v>
      </c>
      <c r="K7" s="1">
        <v>50</v>
      </c>
      <c r="L7" s="1">
        <f t="shared" si="1"/>
        <v>140</v>
      </c>
    </row>
  </sheetData>
  <mergeCells count="2">
    <mergeCell ref="A1:D1"/>
    <mergeCell ref="I2:L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G6" sqref="G6"/>
    </sheetView>
  </sheetViews>
  <sheetFormatPr defaultRowHeight="13.8" x14ac:dyDescent="0.25"/>
  <cols>
    <col min="1" max="1" width="11.21875" customWidth="1"/>
    <col min="2" max="2" width="16.77734375" customWidth="1"/>
    <col min="3" max="3" width="17.109375" customWidth="1"/>
    <col min="4" max="4" width="11.33203125" customWidth="1"/>
    <col min="12" max="12" width="11.109375" customWidth="1"/>
  </cols>
  <sheetData>
    <row r="1" spans="1:12" ht="18.75" customHeight="1" x14ac:dyDescent="0.25">
      <c r="A1" s="14" t="s">
        <v>19</v>
      </c>
      <c r="B1" s="14"/>
      <c r="C1" s="14"/>
      <c r="D1" s="14"/>
      <c r="I1" t="s">
        <v>34</v>
      </c>
    </row>
    <row r="2" spans="1:12" ht="15.6" x14ac:dyDescent="0.25">
      <c r="A2" s="7" t="s">
        <v>10</v>
      </c>
      <c r="B2" s="8" t="s">
        <v>11</v>
      </c>
      <c r="C2" s="8" t="s">
        <v>12</v>
      </c>
      <c r="D2" s="7" t="s">
        <v>13</v>
      </c>
      <c r="I2" s="14" t="s">
        <v>19</v>
      </c>
      <c r="J2" s="14"/>
      <c r="K2" s="14"/>
      <c r="L2" s="14"/>
    </row>
    <row r="3" spans="1:12" ht="15.6" x14ac:dyDescent="0.25">
      <c r="A3" s="3" t="s">
        <v>14</v>
      </c>
      <c r="B3" s="3">
        <v>1000</v>
      </c>
      <c r="C3" s="3">
        <v>850</v>
      </c>
      <c r="D3" s="4">
        <f>IFERROR(C3/B3,"计算错误")</f>
        <v>0.85</v>
      </c>
      <c r="I3" s="7" t="s">
        <v>10</v>
      </c>
      <c r="J3" s="8" t="s">
        <v>11</v>
      </c>
      <c r="K3" s="8" t="s">
        <v>12</v>
      </c>
      <c r="L3" s="7" t="s">
        <v>13</v>
      </c>
    </row>
    <row r="4" spans="1:12" ht="15.6" x14ac:dyDescent="0.25">
      <c r="A4" s="3" t="s">
        <v>15</v>
      </c>
      <c r="B4" s="3">
        <v>800</v>
      </c>
      <c r="C4" s="3">
        <v>800</v>
      </c>
      <c r="D4" s="4">
        <f t="shared" ref="D4:D6" si="0">IFERROR(C4/B4,"计算错误")</f>
        <v>1</v>
      </c>
      <c r="I4" s="3" t="s">
        <v>14</v>
      </c>
      <c r="J4" s="3">
        <v>1000</v>
      </c>
      <c r="K4" s="3">
        <v>850</v>
      </c>
      <c r="L4" s="4">
        <f>IFERROR(J4/K4,"计算错误")</f>
        <v>1.1764705882352942</v>
      </c>
    </row>
    <row r="5" spans="1:12" ht="15.6" x14ac:dyDescent="0.25">
      <c r="A5" s="3" t="s">
        <v>16</v>
      </c>
      <c r="B5" s="3">
        <v>0</v>
      </c>
      <c r="C5" s="3">
        <v>0</v>
      </c>
      <c r="D5" s="4" t="str">
        <f t="shared" si="0"/>
        <v>计算错误</v>
      </c>
      <c r="I5" s="3" t="s">
        <v>15</v>
      </c>
      <c r="J5" s="3">
        <v>800</v>
      </c>
      <c r="K5" s="3">
        <v>800</v>
      </c>
      <c r="L5" s="4">
        <f t="shared" ref="L5:L7" si="1">IFERROR(J5/K5,"计算错误")</f>
        <v>1</v>
      </c>
    </row>
    <row r="6" spans="1:12" ht="15.6" x14ac:dyDescent="0.25">
      <c r="A6" s="3" t="s">
        <v>17</v>
      </c>
      <c r="B6" s="3">
        <v>500</v>
      </c>
      <c r="C6" s="3">
        <v>200</v>
      </c>
      <c r="D6" s="4">
        <f t="shared" si="0"/>
        <v>0.4</v>
      </c>
      <c r="I6" s="3" t="s">
        <v>16</v>
      </c>
      <c r="J6" s="3">
        <v>0</v>
      </c>
      <c r="K6" s="3">
        <v>0</v>
      </c>
      <c r="L6" s="4" t="str">
        <f t="shared" si="1"/>
        <v>计算错误</v>
      </c>
    </row>
    <row r="7" spans="1:12" ht="15.6" x14ac:dyDescent="0.25">
      <c r="A7" s="5"/>
      <c r="B7" s="5"/>
      <c r="C7" s="5"/>
      <c r="D7" s="5"/>
      <c r="I7" s="3" t="s">
        <v>17</v>
      </c>
      <c r="J7" s="3">
        <v>500</v>
      </c>
      <c r="K7" s="3">
        <v>200</v>
      </c>
      <c r="L7" s="4">
        <f t="shared" si="1"/>
        <v>2.5</v>
      </c>
    </row>
    <row r="8" spans="1:12" ht="15.6" x14ac:dyDescent="0.25">
      <c r="A8" s="6" t="s">
        <v>18</v>
      </c>
      <c r="B8" s="5"/>
      <c r="C8" s="5"/>
      <c r="D8" s="5"/>
      <c r="I8" s="5"/>
      <c r="J8" s="5"/>
      <c r="K8" s="5"/>
      <c r="L8" s="5"/>
    </row>
    <row r="9" spans="1:12" ht="15.6" x14ac:dyDescent="0.25">
      <c r="I9" s="6" t="s">
        <v>18</v>
      </c>
      <c r="J9" s="5"/>
      <c r="K9" s="5"/>
      <c r="L9" s="5"/>
    </row>
  </sheetData>
  <mergeCells count="2">
    <mergeCell ref="A1:D1"/>
    <mergeCell ref="I2:L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L12" sqref="L12"/>
    </sheetView>
  </sheetViews>
  <sheetFormatPr defaultRowHeight="13.8" x14ac:dyDescent="0.25"/>
  <cols>
    <col min="2" max="2" width="11.33203125" customWidth="1"/>
    <col min="6" max="6" width="12.21875" customWidth="1"/>
    <col min="7" max="7" width="13.44140625" customWidth="1"/>
    <col min="8" max="8" width="12.88671875" customWidth="1"/>
  </cols>
  <sheetData>
    <row r="1" spans="1:8" ht="15.6" x14ac:dyDescent="0.25">
      <c r="A1" s="9" t="s">
        <v>20</v>
      </c>
      <c r="B1" s="10"/>
      <c r="C1" s="10"/>
      <c r="D1" s="10"/>
      <c r="E1" s="10"/>
      <c r="F1" s="10"/>
      <c r="G1" s="10"/>
      <c r="H1" s="10"/>
    </row>
    <row r="2" spans="1:8" ht="15.6" x14ac:dyDescent="0.25">
      <c r="A2" s="10"/>
      <c r="B2" s="10"/>
      <c r="C2" s="10"/>
      <c r="D2" s="10"/>
      <c r="E2" s="10"/>
      <c r="F2" s="10"/>
      <c r="G2" s="10"/>
      <c r="H2" s="10"/>
    </row>
    <row r="3" spans="1:8" ht="15.6" x14ac:dyDescent="0.25">
      <c r="A3" s="10" t="s">
        <v>21</v>
      </c>
      <c r="B3" s="10"/>
      <c r="C3" s="10"/>
      <c r="D3" s="10"/>
      <c r="E3" s="10" t="s">
        <v>35</v>
      </c>
      <c r="F3" s="10"/>
      <c r="G3" s="10"/>
      <c r="H3" s="10"/>
    </row>
    <row r="4" spans="1:8" ht="15.6" x14ac:dyDescent="0.25">
      <c r="A4" s="10"/>
      <c r="B4" s="10"/>
      <c r="C4" s="10"/>
      <c r="D4" s="10"/>
      <c r="E4" s="10"/>
      <c r="F4" s="10"/>
      <c r="G4" s="10"/>
      <c r="H4" s="10"/>
    </row>
    <row r="5" spans="1:8" ht="15.6" x14ac:dyDescent="0.25">
      <c r="A5" s="10" t="s">
        <v>22</v>
      </c>
      <c r="B5" s="10"/>
      <c r="C5" s="10"/>
      <c r="D5" s="10"/>
      <c r="E5" s="10" t="s">
        <v>23</v>
      </c>
      <c r="F5" s="10"/>
      <c r="G5" s="10"/>
      <c r="H5" s="10"/>
    </row>
    <row r="6" spans="1:8" ht="15.6" x14ac:dyDescent="0.25">
      <c r="A6" s="12" t="s">
        <v>24</v>
      </c>
      <c r="B6" s="12" t="s">
        <v>25</v>
      </c>
      <c r="C6" s="10"/>
      <c r="D6" s="10"/>
      <c r="E6" s="12" t="s">
        <v>24</v>
      </c>
      <c r="F6" s="12" t="s">
        <v>26</v>
      </c>
      <c r="G6" s="12" t="s">
        <v>27</v>
      </c>
      <c r="H6" s="12" t="s">
        <v>28</v>
      </c>
    </row>
    <row r="7" spans="1:8" ht="15.6" x14ac:dyDescent="0.25">
      <c r="A7" s="11" t="s">
        <v>29</v>
      </c>
      <c r="B7" s="11">
        <v>6.5</v>
      </c>
      <c r="C7" s="9"/>
      <c r="D7" s="9"/>
      <c r="E7" s="11" t="s">
        <v>30</v>
      </c>
      <c r="F7" s="11">
        <v>12</v>
      </c>
      <c r="G7" s="11">
        <f>IFERROR(VLOOKUP(E7,$A$7:$B$10,2,0),"没有该水果")</f>
        <v>4</v>
      </c>
      <c r="H7" s="11">
        <f>IFERROR(F7*G7,0)</f>
        <v>48</v>
      </c>
    </row>
    <row r="8" spans="1:8" ht="15.6" x14ac:dyDescent="0.25">
      <c r="A8" s="11" t="s">
        <v>30</v>
      </c>
      <c r="B8" s="11">
        <v>4</v>
      </c>
      <c r="C8" s="9"/>
      <c r="D8" s="9"/>
      <c r="E8" s="11" t="s">
        <v>31</v>
      </c>
      <c r="F8" s="11">
        <v>5</v>
      </c>
      <c r="G8" s="11">
        <f t="shared" ref="G8:G9" si="0">IFERROR(VLOOKUP(E8,$A$7:$B$10,2,0),"没有该水果")</f>
        <v>6</v>
      </c>
      <c r="H8" s="11">
        <f t="shared" ref="H8:H9" si="1">IFERROR(F8*G8,0)</f>
        <v>30</v>
      </c>
    </row>
    <row r="9" spans="1:8" ht="15.6" x14ac:dyDescent="0.25">
      <c r="A9" s="11" t="s">
        <v>31</v>
      </c>
      <c r="B9" s="11">
        <v>6</v>
      </c>
      <c r="C9" s="9"/>
      <c r="D9" s="9"/>
      <c r="E9" s="11" t="s">
        <v>32</v>
      </c>
      <c r="F9" s="11">
        <v>7.5</v>
      </c>
      <c r="G9" s="11" t="str">
        <f t="shared" si="0"/>
        <v>没有该水果</v>
      </c>
      <c r="H9" s="11">
        <f t="shared" si="1"/>
        <v>0</v>
      </c>
    </row>
    <row r="10" spans="1:8" ht="15.6" x14ac:dyDescent="0.25">
      <c r="A10" s="11" t="s">
        <v>33</v>
      </c>
      <c r="B10" s="11">
        <v>3.5</v>
      </c>
      <c r="C10" s="9"/>
      <c r="D10" s="9"/>
      <c r="E10" s="9"/>
      <c r="F10" s="9"/>
      <c r="G10" s="9"/>
      <c r="H10" s="9"/>
    </row>
    <row r="16" spans="1:8" x14ac:dyDescent="0.25">
      <c r="E16" t="s">
        <v>36</v>
      </c>
    </row>
    <row r="17" spans="1:8" ht="15.6" x14ac:dyDescent="0.25">
      <c r="A17" s="10" t="s">
        <v>22</v>
      </c>
      <c r="B17" s="10"/>
      <c r="C17" s="10"/>
      <c r="D17" s="10"/>
      <c r="E17" s="10" t="s">
        <v>23</v>
      </c>
      <c r="F17" s="10"/>
      <c r="G17" s="10"/>
      <c r="H17" s="10"/>
    </row>
    <row r="18" spans="1:8" ht="15.6" x14ac:dyDescent="0.25">
      <c r="A18" s="12" t="s">
        <v>24</v>
      </c>
      <c r="B18" s="12" t="s">
        <v>25</v>
      </c>
      <c r="C18" s="10"/>
      <c r="D18" s="10"/>
      <c r="E18" s="12" t="s">
        <v>24</v>
      </c>
      <c r="F18" s="12" t="s">
        <v>26</v>
      </c>
      <c r="G18" s="12" t="s">
        <v>27</v>
      </c>
      <c r="H18" s="12" t="s">
        <v>28</v>
      </c>
    </row>
    <row r="19" spans="1:8" ht="15.6" x14ac:dyDescent="0.25">
      <c r="A19" s="11" t="s">
        <v>29</v>
      </c>
      <c r="B19" s="11">
        <v>6.5</v>
      </c>
      <c r="C19" s="9"/>
      <c r="D19" s="9"/>
      <c r="E19" s="11" t="s">
        <v>30</v>
      </c>
      <c r="F19" s="11">
        <v>12</v>
      </c>
      <c r="G19" s="11">
        <f>IFERROR(VLOOKUP(E19,A19:B22,2,FALSE),"找不到该水果")</f>
        <v>4</v>
      </c>
      <c r="H19" s="11">
        <f>IFERROR(F19*G19,)</f>
        <v>48</v>
      </c>
    </row>
    <row r="20" spans="1:8" ht="15.6" x14ac:dyDescent="0.25">
      <c r="A20" s="11" t="s">
        <v>30</v>
      </c>
      <c r="B20" s="11">
        <v>4</v>
      </c>
      <c r="C20" s="9"/>
      <c r="D20" s="9"/>
      <c r="E20" s="11" t="s">
        <v>31</v>
      </c>
      <c r="F20" s="11">
        <v>5</v>
      </c>
      <c r="G20" s="11">
        <f t="shared" ref="G20:G21" si="2">IFERROR(VLOOKUP(E20,A20:B23,2,FALSE),"找不到该水果")</f>
        <v>6</v>
      </c>
      <c r="H20" s="11">
        <f t="shared" ref="H20:H21" si="3">IFERROR(F20*G20,)</f>
        <v>30</v>
      </c>
    </row>
    <row r="21" spans="1:8" ht="15.6" x14ac:dyDescent="0.25">
      <c r="A21" s="11" t="s">
        <v>31</v>
      </c>
      <c r="B21" s="11">
        <v>6</v>
      </c>
      <c r="C21" s="9"/>
      <c r="D21" s="9"/>
      <c r="E21" s="11" t="s">
        <v>32</v>
      </c>
      <c r="F21" s="11">
        <v>7.5</v>
      </c>
      <c r="G21" s="11" t="str">
        <f t="shared" si="2"/>
        <v>找不到该水果</v>
      </c>
      <c r="H21" s="11">
        <f t="shared" si="3"/>
        <v>0</v>
      </c>
    </row>
    <row r="22" spans="1:8" ht="15.6" x14ac:dyDescent="0.25">
      <c r="A22" s="11" t="s">
        <v>33</v>
      </c>
      <c r="B22" s="11">
        <v>3.5</v>
      </c>
      <c r="C22" s="9"/>
      <c r="D22" s="9"/>
      <c r="E22" s="9"/>
      <c r="F22" s="9"/>
      <c r="G22" s="9"/>
      <c r="H22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2024-10-22T15:29:33Z</dcterms:modified>
</cp:coreProperties>
</file>