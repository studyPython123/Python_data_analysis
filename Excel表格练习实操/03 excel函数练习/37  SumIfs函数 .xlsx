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37CEDD99-7D75-44BE-815D-C3FAED3A7B2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练习题1" sheetId="2" r:id="rId1"/>
    <sheet name="练习题2" sheetId="1" r:id="rId2"/>
    <sheet name="练习题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4" l="1"/>
  <c r="I3" i="4"/>
  <c r="I2" i="4"/>
  <c r="F3" i="4"/>
  <c r="G3" i="4"/>
  <c r="H3" i="4"/>
  <c r="F4" i="4"/>
  <c r="G4" i="4"/>
  <c r="H4" i="4"/>
  <c r="G2" i="4"/>
  <c r="H2" i="4"/>
  <c r="F2" i="4"/>
  <c r="J4" i="1"/>
  <c r="J3" i="1"/>
  <c r="J2" i="1"/>
  <c r="I3" i="2"/>
</calcChain>
</file>

<file path=xl/sharedStrings.xml><?xml version="1.0" encoding="utf-8"?>
<sst xmlns="http://schemas.openxmlformats.org/spreadsheetml/2006/main" count="80" uniqueCount="45">
  <si>
    <t>姓名</t>
    <phoneticPr fontId="1" type="noConversion"/>
  </si>
  <si>
    <t>性别</t>
    <phoneticPr fontId="1" type="noConversion"/>
  </si>
  <si>
    <t>成绩</t>
    <phoneticPr fontId="1" type="noConversion"/>
  </si>
  <si>
    <t>华欣琪</t>
    <phoneticPr fontId="1" type="noConversion"/>
  </si>
  <si>
    <t>孔光桃</t>
    <phoneticPr fontId="1" type="noConversion"/>
  </si>
  <si>
    <t>曹秋</t>
    <phoneticPr fontId="1" type="noConversion"/>
  </si>
  <si>
    <t>孔计香</t>
    <phoneticPr fontId="1" type="noConversion"/>
  </si>
  <si>
    <t>冯忠娇</t>
    <phoneticPr fontId="1" type="noConversion"/>
  </si>
  <si>
    <t>女</t>
    <phoneticPr fontId="1" type="noConversion"/>
  </si>
  <si>
    <t>男</t>
    <phoneticPr fontId="1" type="noConversion"/>
  </si>
  <si>
    <t>一季度销售表</t>
    <phoneticPr fontId="3" type="noConversion"/>
  </si>
  <si>
    <t>布鞋</t>
    <phoneticPr fontId="3" type="noConversion"/>
  </si>
  <si>
    <t>白</t>
    <phoneticPr fontId="3" type="noConversion"/>
  </si>
  <si>
    <t>北京</t>
    <phoneticPr fontId="3" type="noConversion"/>
  </si>
  <si>
    <t>蓝</t>
    <phoneticPr fontId="3" type="noConversion"/>
  </si>
  <si>
    <t>上海</t>
    <phoneticPr fontId="3" type="noConversion"/>
  </si>
  <si>
    <t>绿</t>
    <phoneticPr fontId="3" type="noConversion"/>
  </si>
  <si>
    <t>广州</t>
    <phoneticPr fontId="3" type="noConversion"/>
  </si>
  <si>
    <t>黑</t>
    <phoneticPr fontId="3" type="noConversion"/>
  </si>
  <si>
    <t>运动鞋</t>
    <phoneticPr fontId="3" type="noConversion"/>
  </si>
  <si>
    <t>拖鞋</t>
    <phoneticPr fontId="3" type="noConversion"/>
  </si>
  <si>
    <t>布鞋</t>
    <phoneticPr fontId="1" type="noConversion"/>
  </si>
  <si>
    <t>总销量</t>
    <phoneticPr fontId="3" type="noConversion"/>
  </si>
  <si>
    <t>销售月份</t>
    <phoneticPr fontId="1" type="noConversion"/>
  </si>
  <si>
    <t>产品名称</t>
    <phoneticPr fontId="1" type="noConversion"/>
  </si>
  <si>
    <t>产品颜色</t>
    <phoneticPr fontId="1" type="noConversion"/>
  </si>
  <si>
    <t>销售数量</t>
    <phoneticPr fontId="1" type="noConversion"/>
  </si>
  <si>
    <t>销售地区</t>
    <phoneticPr fontId="1" type="noConversion"/>
  </si>
  <si>
    <t>产品名称</t>
    <phoneticPr fontId="3" type="noConversion"/>
  </si>
  <si>
    <t>孔盼</t>
    <phoneticPr fontId="1" type="noConversion"/>
  </si>
  <si>
    <t>产品颜色</t>
    <phoneticPr fontId="1" type="noConversion"/>
  </si>
  <si>
    <t>白</t>
    <phoneticPr fontId="1" type="noConversion"/>
  </si>
  <si>
    <t>班级</t>
    <phoneticPr fontId="1" type="noConversion"/>
  </si>
  <si>
    <t>一班</t>
    <phoneticPr fontId="1" type="noConversion"/>
  </si>
  <si>
    <t>二班</t>
    <phoneticPr fontId="1" type="noConversion"/>
  </si>
  <si>
    <t>1.一班女生的成绩总和</t>
    <phoneticPr fontId="1" type="noConversion"/>
  </si>
  <si>
    <t>2.所有姓孔的女同学的成绩总和</t>
    <phoneticPr fontId="1" type="noConversion"/>
  </si>
  <si>
    <t>3.二班里大于等于60分的女生的成绩总和</t>
    <phoneticPr fontId="1" type="noConversion"/>
  </si>
  <si>
    <t>月份</t>
    <phoneticPr fontId="1" type="noConversion"/>
  </si>
  <si>
    <t>支出项目</t>
    <phoneticPr fontId="1" type="noConversion"/>
  </si>
  <si>
    <t>支出金额</t>
    <phoneticPr fontId="1" type="noConversion"/>
  </si>
  <si>
    <t>办公费</t>
    <phoneticPr fontId="1" type="noConversion"/>
  </si>
  <si>
    <t>差旅费</t>
    <phoneticPr fontId="1" type="noConversion"/>
  </si>
  <si>
    <t>广告费</t>
    <phoneticPr fontId="1" type="noConversion"/>
  </si>
  <si>
    <t>租金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</si>
</sst>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/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G6" sqref="G6"/>
    </sheetView>
  </sheetViews>
  <sheetFormatPr defaultRowHeight="13.8" x14ac:dyDescent="0.25"/>
  <cols>
    <col min="9" max="9" width="9.109375" bestFit="1" customWidth="1"/>
  </cols>
  <sheetData>
    <row r="1" spans="1:9" ht="17.399999999999999" x14ac:dyDescent="0.25">
      <c r="A1" s="3"/>
      <c r="B1" s="4" t="s">
        <v>10</v>
      </c>
      <c r="C1" s="3"/>
      <c r="D1" s="3"/>
      <c r="E1" s="3"/>
    </row>
    <row r="2" spans="1:9" x14ac:dyDescent="0.25">
      <c r="A2" s="7" t="s">
        <v>23</v>
      </c>
      <c r="B2" s="7" t="s">
        <v>24</v>
      </c>
      <c r="C2" s="7" t="s">
        <v>25</v>
      </c>
      <c r="D2" s="7" t="s">
        <v>26</v>
      </c>
      <c r="E2" s="7" t="s">
        <v>27</v>
      </c>
      <c r="G2" s="5" t="s">
        <v>28</v>
      </c>
      <c r="H2" s="5" t="s">
        <v>30</v>
      </c>
      <c r="I2" s="5" t="s">
        <v>22</v>
      </c>
    </row>
    <row r="3" spans="1:9" x14ac:dyDescent="0.25">
      <c r="A3" s="6">
        <v>1</v>
      </c>
      <c r="B3" s="6" t="s">
        <v>11</v>
      </c>
      <c r="C3" s="6" t="s">
        <v>12</v>
      </c>
      <c r="D3" s="6">
        <v>800</v>
      </c>
      <c r="E3" s="6" t="s">
        <v>13</v>
      </c>
      <c r="G3" s="9" t="s">
        <v>21</v>
      </c>
      <c r="H3" s="9" t="s">
        <v>31</v>
      </c>
      <c r="I3" s="9">
        <f>SUMIFS(D3:D11,B3:B11,G3,C3:C11,H3)</f>
        <v>1100</v>
      </c>
    </row>
    <row r="4" spans="1:9" x14ac:dyDescent="0.25">
      <c r="A4" s="6">
        <v>1</v>
      </c>
      <c r="B4" s="6" t="s">
        <v>11</v>
      </c>
      <c r="C4" s="6" t="s">
        <v>14</v>
      </c>
      <c r="D4" s="6">
        <v>400</v>
      </c>
      <c r="E4" s="6" t="s">
        <v>15</v>
      </c>
    </row>
    <row r="5" spans="1:9" x14ac:dyDescent="0.25">
      <c r="A5" s="6">
        <v>1</v>
      </c>
      <c r="B5" s="6" t="s">
        <v>11</v>
      </c>
      <c r="C5" s="6" t="s">
        <v>16</v>
      </c>
      <c r="D5" s="6">
        <v>800</v>
      </c>
      <c r="E5" s="6" t="s">
        <v>17</v>
      </c>
    </row>
    <row r="6" spans="1:9" x14ac:dyDescent="0.25">
      <c r="A6" s="6">
        <v>2</v>
      </c>
      <c r="B6" s="6" t="s">
        <v>11</v>
      </c>
      <c r="C6" s="6" t="s">
        <v>18</v>
      </c>
      <c r="D6" s="6">
        <v>200</v>
      </c>
      <c r="E6" s="6" t="s">
        <v>13</v>
      </c>
    </row>
    <row r="7" spans="1:9" x14ac:dyDescent="0.25">
      <c r="A7" s="6">
        <v>2</v>
      </c>
      <c r="B7" s="6" t="s">
        <v>19</v>
      </c>
      <c r="C7" s="6" t="s">
        <v>12</v>
      </c>
      <c r="D7" s="6">
        <v>800</v>
      </c>
      <c r="E7" s="6" t="s">
        <v>15</v>
      </c>
    </row>
    <row r="8" spans="1:9" x14ac:dyDescent="0.25">
      <c r="A8" s="6">
        <v>2</v>
      </c>
      <c r="B8" s="6" t="s">
        <v>20</v>
      </c>
      <c r="C8" s="6" t="s">
        <v>18</v>
      </c>
      <c r="D8" s="6">
        <v>400</v>
      </c>
      <c r="E8" s="6" t="s">
        <v>17</v>
      </c>
    </row>
    <row r="9" spans="1:9" x14ac:dyDescent="0.25">
      <c r="A9" s="6">
        <v>3</v>
      </c>
      <c r="B9" s="6" t="s">
        <v>11</v>
      </c>
      <c r="C9" s="6" t="s">
        <v>12</v>
      </c>
      <c r="D9" s="6">
        <v>300</v>
      </c>
      <c r="E9" s="6" t="s">
        <v>13</v>
      </c>
    </row>
    <row r="10" spans="1:9" x14ac:dyDescent="0.25">
      <c r="A10" s="6">
        <v>3</v>
      </c>
      <c r="B10" s="6" t="s">
        <v>19</v>
      </c>
      <c r="C10" s="6" t="s">
        <v>12</v>
      </c>
      <c r="D10" s="6">
        <v>500</v>
      </c>
      <c r="E10" s="6" t="s">
        <v>15</v>
      </c>
    </row>
    <row r="11" spans="1:9" x14ac:dyDescent="0.25">
      <c r="A11" s="6">
        <v>3</v>
      </c>
      <c r="B11" s="6" t="s">
        <v>20</v>
      </c>
      <c r="C11" s="6" t="s">
        <v>18</v>
      </c>
      <c r="D11" s="6">
        <v>800</v>
      </c>
      <c r="E11" s="6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>
      <selection activeCell="I8" sqref="I8"/>
    </sheetView>
  </sheetViews>
  <sheetFormatPr defaultRowHeight="13.8" x14ac:dyDescent="0.25"/>
  <sheetData>
    <row r="1" spans="1:10" x14ac:dyDescent="0.25">
      <c r="A1" s="2" t="s">
        <v>32</v>
      </c>
      <c r="B1" s="2" t="s">
        <v>0</v>
      </c>
      <c r="C1" s="2" t="s">
        <v>1</v>
      </c>
      <c r="D1" s="2" t="s">
        <v>2</v>
      </c>
    </row>
    <row r="2" spans="1:10" x14ac:dyDescent="0.25">
      <c r="A2" s="1" t="s">
        <v>33</v>
      </c>
      <c r="B2" s="1" t="s">
        <v>3</v>
      </c>
      <c r="C2" s="1" t="s">
        <v>8</v>
      </c>
      <c r="D2" s="1">
        <v>72</v>
      </c>
      <c r="F2" t="s">
        <v>35</v>
      </c>
      <c r="J2">
        <f>SUMIFS(D2:D7,A2:A7,A2,C2:C7,C2)</f>
        <v>128</v>
      </c>
    </row>
    <row r="3" spans="1:10" x14ac:dyDescent="0.25">
      <c r="A3" s="1" t="s">
        <v>33</v>
      </c>
      <c r="B3" s="1" t="s">
        <v>4</v>
      </c>
      <c r="C3" s="1" t="s">
        <v>8</v>
      </c>
      <c r="D3" s="1">
        <v>56</v>
      </c>
      <c r="F3" t="s">
        <v>36</v>
      </c>
      <c r="J3">
        <f>SUMIFS(D2:D7,B2:B7,"孔*",C2:C7,C2)</f>
        <v>137</v>
      </c>
    </row>
    <row r="4" spans="1:10" x14ac:dyDescent="0.25">
      <c r="A4" s="1" t="s">
        <v>33</v>
      </c>
      <c r="B4" s="1" t="s">
        <v>5</v>
      </c>
      <c r="C4" s="1" t="s">
        <v>9</v>
      </c>
      <c r="D4" s="1">
        <v>93</v>
      </c>
      <c r="F4" t="s">
        <v>37</v>
      </c>
      <c r="J4">
        <f>SUMIFS(D2:D7,A2:A7,A5,C2:C7,C2,D2:D7,"&gt;=60")</f>
        <v>148</v>
      </c>
    </row>
    <row r="5" spans="1:10" x14ac:dyDescent="0.25">
      <c r="A5" s="1" t="s">
        <v>34</v>
      </c>
      <c r="B5" s="1" t="s">
        <v>6</v>
      </c>
      <c r="C5" s="1" t="s">
        <v>8</v>
      </c>
      <c r="D5" s="1">
        <v>81</v>
      </c>
    </row>
    <row r="6" spans="1:10" x14ac:dyDescent="0.25">
      <c r="A6" s="1" t="s">
        <v>34</v>
      </c>
      <c r="B6" s="1" t="s">
        <v>7</v>
      </c>
      <c r="C6" s="1" t="s">
        <v>8</v>
      </c>
      <c r="D6" s="1">
        <v>67</v>
      </c>
    </row>
    <row r="7" spans="1:10" x14ac:dyDescent="0.25">
      <c r="A7" s="1" t="s">
        <v>34</v>
      </c>
      <c r="B7" s="1" t="s">
        <v>29</v>
      </c>
      <c r="C7" s="1" t="s">
        <v>9</v>
      </c>
      <c r="D7" s="1">
        <v>55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tabSelected="1" workbookViewId="0">
      <selection activeCell="K5" sqref="K5"/>
    </sheetView>
  </sheetViews>
  <sheetFormatPr defaultRowHeight="13.8" x14ac:dyDescent="0.25"/>
  <sheetData>
    <row r="1" spans="1:9" x14ac:dyDescent="0.25">
      <c r="A1" s="2" t="s">
        <v>38</v>
      </c>
      <c r="B1" s="2" t="s">
        <v>39</v>
      </c>
      <c r="C1" s="2" t="s">
        <v>40</v>
      </c>
      <c r="E1" s="8" t="s">
        <v>38</v>
      </c>
      <c r="F1" s="8" t="s">
        <v>41</v>
      </c>
      <c r="G1" s="8" t="s">
        <v>42</v>
      </c>
      <c r="H1" s="8" t="s">
        <v>44</v>
      </c>
      <c r="I1" s="8" t="s">
        <v>43</v>
      </c>
    </row>
    <row r="2" spans="1:9" x14ac:dyDescent="0.25">
      <c r="A2" s="1">
        <v>1</v>
      </c>
      <c r="B2" s="1" t="s">
        <v>41</v>
      </c>
      <c r="C2" s="1">
        <v>1230</v>
      </c>
      <c r="E2" s="1">
        <v>1</v>
      </c>
      <c r="F2" s="1">
        <f>SUMIFS($C$2:$C$10,$A$2:$A$10,$E2,$B$2:$B$10,F$1)</f>
        <v>1230</v>
      </c>
      <c r="G2" s="1">
        <f t="shared" ref="G2:I4" si="0">SUMIFS($C$2:$C$10,$A$2:$A$10,$E2,$B$2:$B$10,G$1)</f>
        <v>2120</v>
      </c>
      <c r="H2" s="1">
        <f t="shared" si="0"/>
        <v>3000</v>
      </c>
      <c r="I2" s="1">
        <f>SUMIFS($C$2:$C$10,$A$2:$A$10,$E2,$B$2:$B$10,I$1)</f>
        <v>0</v>
      </c>
    </row>
    <row r="3" spans="1:9" x14ac:dyDescent="0.25">
      <c r="A3" s="1">
        <v>1</v>
      </c>
      <c r="B3" s="1" t="s">
        <v>42</v>
      </c>
      <c r="C3" s="1">
        <v>2120</v>
      </c>
      <c r="E3" s="1">
        <v>2</v>
      </c>
      <c r="F3" s="1">
        <f t="shared" ref="F3:F4" si="1">SUMIFS($C$2:$C$10,$A$2:$A$10,$E3,$B$2:$B$10,F$1)</f>
        <v>1500</v>
      </c>
      <c r="G3" s="1">
        <f t="shared" si="0"/>
        <v>1720</v>
      </c>
      <c r="H3" s="1">
        <f t="shared" si="0"/>
        <v>3000</v>
      </c>
      <c r="I3" s="1">
        <f>SUMIFS($C$2:$C$10,$A$2:$A$10,$E3,$B$2:$B$10,I$1)</f>
        <v>8500</v>
      </c>
    </row>
    <row r="4" spans="1:9" x14ac:dyDescent="0.25">
      <c r="A4" s="1">
        <v>1</v>
      </c>
      <c r="B4" s="1" t="s">
        <v>44</v>
      </c>
      <c r="C4" s="1">
        <v>3000</v>
      </c>
      <c r="E4" s="1">
        <v>3</v>
      </c>
      <c r="F4" s="1">
        <f t="shared" si="1"/>
        <v>1450</v>
      </c>
      <c r="G4" s="1">
        <f t="shared" si="0"/>
        <v>0</v>
      </c>
      <c r="H4" s="1">
        <f t="shared" si="0"/>
        <v>3000</v>
      </c>
      <c r="I4" s="1">
        <f>SUMIFS($C$2:$C$10,$A$2:$A$10,$E4,$B$2:$B$10,I$1)</f>
        <v>0</v>
      </c>
    </row>
    <row r="5" spans="1:9" x14ac:dyDescent="0.25">
      <c r="A5" s="1">
        <v>2</v>
      </c>
      <c r="B5" s="1" t="s">
        <v>43</v>
      </c>
      <c r="C5" s="1">
        <v>8500</v>
      </c>
    </row>
    <row r="6" spans="1:9" x14ac:dyDescent="0.25">
      <c r="A6" s="1">
        <v>2</v>
      </c>
      <c r="B6" s="1" t="s">
        <v>41</v>
      </c>
      <c r="C6" s="1">
        <v>1500</v>
      </c>
    </row>
    <row r="7" spans="1:9" x14ac:dyDescent="0.25">
      <c r="A7" s="1">
        <v>2</v>
      </c>
      <c r="B7" s="1" t="s">
        <v>42</v>
      </c>
      <c r="C7" s="1">
        <v>1720</v>
      </c>
    </row>
    <row r="8" spans="1:9" x14ac:dyDescent="0.25">
      <c r="A8" s="1">
        <v>2</v>
      </c>
      <c r="B8" s="1" t="s">
        <v>44</v>
      </c>
      <c r="C8" s="1">
        <v>3000</v>
      </c>
    </row>
    <row r="9" spans="1:9" x14ac:dyDescent="0.25">
      <c r="A9" s="1">
        <v>3</v>
      </c>
      <c r="B9" s="1" t="s">
        <v>41</v>
      </c>
      <c r="C9" s="1">
        <v>1450</v>
      </c>
    </row>
    <row r="10" spans="1:9" x14ac:dyDescent="0.25">
      <c r="A10" s="1">
        <v>3</v>
      </c>
      <c r="B10" s="1" t="s">
        <v>44</v>
      </c>
      <c r="C10" s="1">
        <v>3000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练习题1</vt:lpstr>
      <vt:lpstr>练习题2</vt:lpstr>
      <vt:lpstr>练习题3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2024-10-25T11:17:52Z</dcterms:modified>
</cp:coreProperties>
</file>