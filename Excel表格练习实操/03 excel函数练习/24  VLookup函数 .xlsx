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6F500215-38BA-467E-A650-DA74E09658D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练习题1" sheetId="1" r:id="rId1"/>
    <sheet name="练习题2" sheetId="3" r:id="rId2"/>
    <sheet name="练习题3" sheetId="5" r:id="rId3"/>
    <sheet name="练习题4" sheetId="2" r:id="rId4"/>
    <sheet name="练习题5" sheetId="6" r:id="rId5"/>
    <sheet name="练习题6" sheetId="7" r:id="rId6"/>
    <sheet name="练习题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H2" i="8" a="1"/>
  <c r="H2" i="8" s="1"/>
  <c r="E3" i="6"/>
  <c r="E2" i="6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4" i="2"/>
  <c r="H3" i="2"/>
  <c r="G3" i="2"/>
  <c r="C3" i="5"/>
  <c r="C4" i="5"/>
  <c r="C5" i="5"/>
  <c r="C6" i="5"/>
  <c r="C7" i="5"/>
  <c r="C8" i="5"/>
  <c r="C9" i="5"/>
  <c r="C10" i="5"/>
  <c r="C2" i="5"/>
  <c r="G3" i="3" l="1"/>
  <c r="G4" i="3"/>
  <c r="G5" i="3"/>
  <c r="G6" i="3"/>
  <c r="G7" i="3"/>
  <c r="G8" i="3"/>
  <c r="G2" i="3"/>
  <c r="F3" i="3"/>
  <c r="F4" i="3"/>
  <c r="F5" i="3"/>
  <c r="F6" i="3"/>
  <c r="F7" i="3"/>
  <c r="F8" i="3"/>
  <c r="F2" i="3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<sst xmlns="http://schemas.openxmlformats.org/spreadsheetml/2006/main" count="159" uniqueCount="125">
  <si>
    <t>编号</t>
    <phoneticPr fontId="2" type="noConversion"/>
  </si>
  <si>
    <t>水果名称</t>
    <phoneticPr fontId="2" type="noConversion"/>
  </si>
  <si>
    <t>单价·元/斤</t>
    <phoneticPr fontId="2" type="noConversion"/>
  </si>
  <si>
    <t>单价</t>
    <phoneticPr fontId="2" type="noConversion"/>
  </si>
  <si>
    <t>A001</t>
    <phoneticPr fontId="2" type="noConversion"/>
  </si>
  <si>
    <t>苹果</t>
    <phoneticPr fontId="2" type="noConversion"/>
  </si>
  <si>
    <t>西瓜</t>
    <phoneticPr fontId="2" type="noConversion"/>
  </si>
  <si>
    <t>A002</t>
  </si>
  <si>
    <t>A003</t>
  </si>
  <si>
    <t>香蕉</t>
    <phoneticPr fontId="2" type="noConversion"/>
  </si>
  <si>
    <t>A004</t>
  </si>
  <si>
    <t>桃子</t>
    <phoneticPr fontId="2" type="noConversion"/>
  </si>
  <si>
    <t>A005</t>
  </si>
  <si>
    <t>柠檬</t>
    <phoneticPr fontId="2" type="noConversion"/>
  </si>
  <si>
    <t>A006</t>
  </si>
  <si>
    <t>荔枝</t>
    <phoneticPr fontId="2" type="noConversion"/>
  </si>
  <si>
    <t>重要提示：</t>
    <phoneticPr fontId="1" type="noConversion"/>
  </si>
  <si>
    <t>按列查找，从上到下查找</t>
    <phoneticPr fontId="1" type="noConversion"/>
  </si>
  <si>
    <t>查找对象必须在查找范围的首列里面</t>
    <phoneticPr fontId="1" type="noConversion"/>
  </si>
  <si>
    <t>查找范围经常需要绝对引用</t>
    <phoneticPr fontId="1" type="noConversion"/>
  </si>
  <si>
    <t>易错点：</t>
    <phoneticPr fontId="1" type="noConversion"/>
  </si>
  <si>
    <t>范围中的列号不要和列号混淆</t>
    <phoneticPr fontId="1" type="noConversion"/>
  </si>
  <si>
    <t>价格表</t>
    <phoneticPr fontId="1" type="noConversion"/>
  </si>
  <si>
    <t>销售记录</t>
    <phoneticPr fontId="1" type="noConversion"/>
  </si>
  <si>
    <t>饮料名称</t>
    <phoneticPr fontId="1" type="noConversion"/>
  </si>
  <si>
    <t>进价</t>
    <phoneticPr fontId="1" type="noConversion"/>
  </si>
  <si>
    <t>售价</t>
    <phoneticPr fontId="1" type="noConversion"/>
  </si>
  <si>
    <t>销售数量</t>
    <phoneticPr fontId="1" type="noConversion"/>
  </si>
  <si>
    <t>利润</t>
    <phoneticPr fontId="1" type="noConversion"/>
  </si>
  <si>
    <t>可口可乐（1L)</t>
  </si>
  <si>
    <t>可口可乐（1L)</t>
    <phoneticPr fontId="1" type="noConversion"/>
  </si>
  <si>
    <t>非常可乐</t>
  </si>
  <si>
    <t>非常可乐</t>
    <phoneticPr fontId="1" type="noConversion"/>
  </si>
  <si>
    <t>百事可乐(1L)</t>
  </si>
  <si>
    <t>百事可乐(1L)</t>
    <phoneticPr fontId="1" type="noConversion"/>
  </si>
  <si>
    <t>乐百氏纯净水</t>
  </si>
  <si>
    <t>乐百氏纯净水</t>
    <phoneticPr fontId="1" type="noConversion"/>
  </si>
  <si>
    <t>益力纯净水</t>
  </si>
  <si>
    <t>益力纯净水</t>
    <phoneticPr fontId="1" type="noConversion"/>
  </si>
  <si>
    <t>怡宝纯净水</t>
  </si>
  <si>
    <t>怡宝纯净水</t>
    <phoneticPr fontId="1" type="noConversion"/>
  </si>
  <si>
    <t>伊利奶茶</t>
  </si>
  <si>
    <t>伊利奶茶</t>
    <phoneticPr fontId="1" type="noConversion"/>
  </si>
  <si>
    <t>伊利纯牛奶</t>
  </si>
  <si>
    <t>伊利纯牛奶</t>
    <phoneticPr fontId="1" type="noConversion"/>
  </si>
  <si>
    <t>雪碧(1L)</t>
  </si>
  <si>
    <t>雪碧(1L)</t>
    <phoneticPr fontId="1" type="noConversion"/>
  </si>
  <si>
    <t>伊利酸奶</t>
  </si>
  <si>
    <t>伊利酸奶</t>
    <phoneticPr fontId="1" type="noConversion"/>
  </si>
  <si>
    <t>蒙牛酸奶</t>
  </si>
  <si>
    <t>蒙牛酸奶</t>
    <phoneticPr fontId="1" type="noConversion"/>
  </si>
  <si>
    <t>生产厂家</t>
    <phoneticPr fontId="1" type="noConversion"/>
  </si>
  <si>
    <t>茅台酒</t>
    <phoneticPr fontId="1" type="noConversion"/>
  </si>
  <si>
    <t>五粮液</t>
    <phoneticPr fontId="1" type="noConversion"/>
  </si>
  <si>
    <t>泸州老窖</t>
    <phoneticPr fontId="1" type="noConversion"/>
  </si>
  <si>
    <t>汾酒</t>
    <phoneticPr fontId="1" type="noConversion"/>
  </si>
  <si>
    <t>古井贡酒</t>
    <phoneticPr fontId="1" type="noConversion"/>
  </si>
  <si>
    <t>西凤酒</t>
    <phoneticPr fontId="1" type="noConversion"/>
  </si>
  <si>
    <t>剑南春</t>
    <phoneticPr fontId="1" type="noConversion"/>
  </si>
  <si>
    <t>贵州茅台酒股份有限公司</t>
  </si>
  <si>
    <t>五粮液集团有限公司</t>
  </si>
  <si>
    <t>泸州老窖集团公司</t>
  </si>
  <si>
    <t>山西杏花村汾酒集团有限责任公司</t>
  </si>
  <si>
    <t>安徽古井贡酒股份有限公司</t>
  </si>
  <si>
    <t>陕西西凤酒股份有限公司</t>
  </si>
  <si>
    <t>四川剑南春集团有限责任公司</t>
  </si>
  <si>
    <t>行业排名</t>
    <phoneticPr fontId="1" type="noConversion"/>
  </si>
  <si>
    <t>酒名</t>
    <phoneticPr fontId="1" type="noConversion"/>
  </si>
  <si>
    <t xml:space="preserve"> </t>
    <phoneticPr fontId="1" type="noConversion"/>
  </si>
  <si>
    <t>姓名</t>
    <phoneticPr fontId="1" type="noConversion"/>
  </si>
  <si>
    <t>成绩</t>
    <phoneticPr fontId="1" type="noConversion"/>
  </si>
  <si>
    <t>等级</t>
    <phoneticPr fontId="1" type="noConversion"/>
  </si>
  <si>
    <t>等级划分明细表</t>
    <phoneticPr fontId="1" type="noConversion"/>
  </si>
  <si>
    <t>李元群</t>
    <phoneticPr fontId="1" type="noConversion"/>
  </si>
  <si>
    <t>不及格</t>
    <phoneticPr fontId="1" type="noConversion"/>
  </si>
  <si>
    <t>杨欣阳</t>
    <phoneticPr fontId="1" type="noConversion"/>
  </si>
  <si>
    <t>合格</t>
    <phoneticPr fontId="1" type="noConversion"/>
  </si>
  <si>
    <t>蒋芳</t>
    <phoneticPr fontId="1" type="noConversion"/>
  </si>
  <si>
    <t>良好</t>
    <phoneticPr fontId="1" type="noConversion"/>
  </si>
  <si>
    <t>褚天春</t>
    <phoneticPr fontId="1" type="noConversion"/>
  </si>
  <si>
    <t>中等</t>
    <phoneticPr fontId="1" type="noConversion"/>
  </si>
  <si>
    <t>孙翠翠</t>
    <phoneticPr fontId="1" type="noConversion"/>
  </si>
  <si>
    <t>优秀</t>
    <phoneticPr fontId="1" type="noConversion"/>
  </si>
  <si>
    <t>卫凡</t>
    <phoneticPr fontId="1" type="noConversion"/>
  </si>
  <si>
    <t>徐丽</t>
    <phoneticPr fontId="1" type="noConversion"/>
  </si>
  <si>
    <t>曹兴</t>
    <phoneticPr fontId="1" type="noConversion"/>
  </si>
  <si>
    <t>秦淑芬</t>
    <phoneticPr fontId="1" type="noConversion"/>
  </si>
  <si>
    <t>提示：用VLOOKUP函数根据等级划分明细表求出A列学生对应的等级。</t>
    <phoneticPr fontId="1" type="noConversion"/>
  </si>
  <si>
    <t>姓名</t>
    <phoneticPr fontId="1" type="noConversion"/>
  </si>
  <si>
    <t>学号</t>
    <phoneticPr fontId="1" type="noConversion"/>
  </si>
  <si>
    <t>成绩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</si>
  <si>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</si>
  <si>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</si>
  <si>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</si>
  <si>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</si>
  <si>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</si>
  <si>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S001</t>
    <phoneticPr fontId="1" type="noConversion"/>
  </si>
  <si>
    <t>S002</t>
  </si>
  <si>
    <t>S003</t>
  </si>
  <si>
    <t>S004</t>
  </si>
  <si>
    <t>S005</t>
  </si>
  <si>
    <t>S002</t>
    <phoneticPr fontId="1" type="noConversion"/>
  </si>
  <si>
    <t>S005</t>
    <phoneticPr fontId="1" type="noConversion"/>
  </si>
  <si>
    <t>用vlookup函数通过学号找出姓名</t>
    <phoneticPr fontId="1" type="noConversion"/>
  </si>
  <si>
    <t>用VLOOKUP函数完成</t>
    <phoneticPr fontId="1" type="noConversion"/>
  </si>
  <si>
    <t>语文成绩</t>
    <phoneticPr fontId="1" type="noConversion"/>
  </si>
  <si>
    <t>数学成绩</t>
    <phoneticPr fontId="1" type="noConversion"/>
  </si>
  <si>
    <t>英语成绩</t>
    <phoneticPr fontId="1" type="noConversion"/>
  </si>
  <si>
    <t>姓名</t>
    <phoneticPr fontId="1" type="noConversion"/>
  </si>
  <si>
    <t>总分</t>
    <phoneticPr fontId="1" type="noConversion"/>
  </si>
  <si>
    <t>陈六</t>
    <phoneticPr fontId="1" type="noConversion"/>
  </si>
  <si>
    <t>提示：用vlookup、column、sum函数求出陈六的总分</t>
    <phoneticPr fontId="1" type="noConversion"/>
  </si>
  <si>
    <t>店铺</t>
    <phoneticPr fontId="1" type="noConversion"/>
  </si>
  <si>
    <t>营业额</t>
    <phoneticPr fontId="1" type="noConversion"/>
  </si>
  <si>
    <t>张三</t>
    <phoneticPr fontId="1" type="noConversion"/>
  </si>
  <si>
    <t>店铺A</t>
    <phoneticPr fontId="1" type="noConversion"/>
  </si>
  <si>
    <t>李四</t>
    <phoneticPr fontId="1" type="noConversion"/>
  </si>
  <si>
    <t>店铺B</t>
    <phoneticPr fontId="1" type="noConversion"/>
  </si>
  <si>
    <t>店铺C</t>
    <phoneticPr fontId="1" type="noConversion"/>
  </si>
  <si>
    <t>店铺D</t>
    <phoneticPr fontId="1" type="noConversion"/>
  </si>
  <si>
    <t>周七</t>
    <phoneticPr fontId="1" type="noConversion"/>
  </si>
  <si>
    <t>店铺E</t>
    <phoneticPr fontId="1" type="noConversion"/>
  </si>
  <si>
    <t>提示：用vlookup、if函数求出张三店铺C的营业额</t>
    <phoneticPr fontId="1" type="noConversion"/>
  </si>
  <si>
    <t>柠檬</t>
    <phoneticPr fontId="2" type="noConversion"/>
  </si>
  <si>
    <t>苹果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</si>
</sst>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176" fontId="0" fillId="0" borderId="1" xfId="0" applyNumberFormat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G6" sqref="G6"/>
    </sheetView>
  </sheetViews>
  <sheetFormatPr defaultRowHeight="13.8" x14ac:dyDescent="0.25"/>
  <cols>
    <col min="5" max="5" width="14.21875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1"/>
      <c r="E1" s="8" t="s">
        <v>1</v>
      </c>
      <c r="F1" s="8" t="s">
        <v>3</v>
      </c>
    </row>
    <row r="2" spans="1:6" x14ac:dyDescent="0.25">
      <c r="A2" s="2" t="s">
        <v>4</v>
      </c>
      <c r="B2" s="2" t="s">
        <v>5</v>
      </c>
      <c r="C2" s="2">
        <v>4.0999999999999996</v>
      </c>
      <c r="D2" s="1"/>
      <c r="E2" s="2" t="s">
        <v>123</v>
      </c>
      <c r="F2" s="2">
        <f>VLOOKUP(E2,$B$2:$C$7,2,0)</f>
        <v>6.1</v>
      </c>
    </row>
    <row r="3" spans="1:6" x14ac:dyDescent="0.25">
      <c r="A3" s="2" t="s">
        <v>7</v>
      </c>
      <c r="B3" s="2" t="s">
        <v>6</v>
      </c>
      <c r="C3" s="2">
        <v>1.1000000000000001</v>
      </c>
      <c r="D3" s="1"/>
      <c r="E3" s="2" t="s">
        <v>124</v>
      </c>
      <c r="F3" s="2">
        <f>VLOOKUP(E3,$B$2:$C$7,2,0)</f>
        <v>4.0999999999999996</v>
      </c>
    </row>
    <row r="4" spans="1:6" x14ac:dyDescent="0.25">
      <c r="A4" s="2" t="s">
        <v>8</v>
      </c>
      <c r="B4" s="2" t="s">
        <v>9</v>
      </c>
      <c r="C4" s="2">
        <v>5.6</v>
      </c>
      <c r="D4" s="1"/>
      <c r="E4" s="1"/>
      <c r="F4" s="1"/>
    </row>
    <row r="5" spans="1:6" x14ac:dyDescent="0.25">
      <c r="A5" s="2" t="s">
        <v>10</v>
      </c>
      <c r="B5" s="2" t="s">
        <v>11</v>
      </c>
      <c r="C5" s="2">
        <v>7.6</v>
      </c>
      <c r="D5" s="1"/>
      <c r="E5" s="1"/>
      <c r="F5" s="1"/>
    </row>
    <row r="6" spans="1:6" x14ac:dyDescent="0.25">
      <c r="A6" s="2" t="s">
        <v>12</v>
      </c>
      <c r="B6" s="2" t="s">
        <v>13</v>
      </c>
      <c r="C6" s="2">
        <v>6.1</v>
      </c>
      <c r="D6" s="1"/>
      <c r="E6" s="1"/>
      <c r="F6" s="1"/>
    </row>
    <row r="7" spans="1:6" x14ac:dyDescent="0.25">
      <c r="A7" s="2" t="s">
        <v>14</v>
      </c>
      <c r="B7" s="2" t="s">
        <v>15</v>
      </c>
      <c r="C7" s="2">
        <v>7.6</v>
      </c>
      <c r="D7" s="1"/>
      <c r="E7" s="1"/>
      <c r="F7" s="1"/>
    </row>
    <row r="11" spans="1:6" x14ac:dyDescent="0.25">
      <c r="E11" t="s">
        <v>68</v>
      </c>
    </row>
    <row r="18" spans="1:2" x14ac:dyDescent="0.25">
      <c r="A18" t="s">
        <v>16</v>
      </c>
      <c r="B18" t="s">
        <v>17</v>
      </c>
    </row>
    <row r="19" spans="1:2" x14ac:dyDescent="0.25">
      <c r="B19" t="s">
        <v>18</v>
      </c>
    </row>
    <row r="21" spans="1:2" x14ac:dyDescent="0.25">
      <c r="A21" t="s">
        <v>20</v>
      </c>
      <c r="B21" t="s">
        <v>19</v>
      </c>
    </row>
    <row r="22" spans="1:2" x14ac:dyDescent="0.25">
      <c r="B22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G8" sqref="G8"/>
    </sheetView>
  </sheetViews>
  <sheetFormatPr defaultRowHeight="13.8" x14ac:dyDescent="0.25"/>
  <cols>
    <col min="1" max="1" width="30.21875" customWidth="1"/>
    <col min="5" max="5" width="10.77734375" customWidth="1"/>
  </cols>
  <sheetData>
    <row r="1" spans="1:7" x14ac:dyDescent="0.25">
      <c r="A1" s="11" t="s">
        <v>51</v>
      </c>
      <c r="B1" s="7" t="s">
        <v>66</v>
      </c>
      <c r="E1" s="9" t="s">
        <v>67</v>
      </c>
      <c r="F1" s="10" t="s">
        <v>66</v>
      </c>
    </row>
    <row r="2" spans="1:7" x14ac:dyDescent="0.25">
      <c r="A2" s="5" t="s">
        <v>63</v>
      </c>
      <c r="B2" s="5">
        <v>5</v>
      </c>
      <c r="E2" s="5" t="s">
        <v>52</v>
      </c>
      <c r="F2" s="5">
        <f>VLOOKUP(E2,$A$2:$B$8,2,1)</f>
        <v>3</v>
      </c>
      <c r="G2" s="5">
        <f>VLOOKUP(E2,$A$2:$B$8,2,1)</f>
        <v>3</v>
      </c>
    </row>
    <row r="3" spans="1:7" x14ac:dyDescent="0.25">
      <c r="A3" s="5" t="s">
        <v>59</v>
      </c>
      <c r="B3" s="5">
        <v>1</v>
      </c>
      <c r="E3" s="5" t="s">
        <v>53</v>
      </c>
      <c r="F3" s="5">
        <f t="shared" ref="F3:F8" si="0">VLOOKUP(E3,$A$2:$B$8,2,1)</f>
        <v>7</v>
      </c>
      <c r="G3" s="5">
        <f t="shared" ref="G3:G8" si="1">VLOOKUP(E3,$A$2:$B$8,2,1)</f>
        <v>7</v>
      </c>
    </row>
    <row r="4" spans="1:7" x14ac:dyDescent="0.25">
      <c r="A4" s="5" t="s">
        <v>61</v>
      </c>
      <c r="B4" s="5">
        <v>3</v>
      </c>
      <c r="E4" s="5" t="s">
        <v>54</v>
      </c>
      <c r="F4" s="5">
        <f t="shared" si="0"/>
        <v>1</v>
      </c>
      <c r="G4" s="5">
        <f t="shared" si="1"/>
        <v>1</v>
      </c>
    </row>
    <row r="5" spans="1:7" x14ac:dyDescent="0.25">
      <c r="A5" s="5" t="s">
        <v>62</v>
      </c>
      <c r="B5" s="5">
        <v>4</v>
      </c>
      <c r="E5" s="5" t="s">
        <v>55</v>
      </c>
      <c r="F5" s="5">
        <f t="shared" si="0"/>
        <v>5</v>
      </c>
      <c r="G5" s="5">
        <f t="shared" si="1"/>
        <v>5</v>
      </c>
    </row>
    <row r="6" spans="1:7" x14ac:dyDescent="0.25">
      <c r="A6" s="5" t="s">
        <v>64</v>
      </c>
      <c r="B6" s="5">
        <v>6</v>
      </c>
      <c r="E6" s="5" t="s">
        <v>56</v>
      </c>
      <c r="F6" s="5">
        <f t="shared" si="0"/>
        <v>5</v>
      </c>
      <c r="G6" s="5">
        <f t="shared" si="1"/>
        <v>5</v>
      </c>
    </row>
    <row r="7" spans="1:7" x14ac:dyDescent="0.25">
      <c r="A7" s="5" t="s">
        <v>65</v>
      </c>
      <c r="B7" s="5">
        <v>7</v>
      </c>
      <c r="E7" s="5" t="s">
        <v>57</v>
      </c>
      <c r="F7" s="5">
        <f t="shared" si="0"/>
        <v>2</v>
      </c>
      <c r="G7" s="5">
        <f t="shared" si="1"/>
        <v>2</v>
      </c>
    </row>
    <row r="8" spans="1:7" x14ac:dyDescent="0.25">
      <c r="A8" s="5" t="s">
        <v>60</v>
      </c>
      <c r="B8" s="5">
        <v>2</v>
      </c>
      <c r="E8" s="5" t="s">
        <v>58</v>
      </c>
      <c r="F8" s="5">
        <f t="shared" si="0"/>
        <v>1</v>
      </c>
      <c r="G8" s="5">
        <f t="shared" si="1"/>
        <v>1</v>
      </c>
    </row>
  </sheetData>
  <sortState xmlns:xlrd2="http://schemas.microsoft.com/office/spreadsheetml/2017/richdata2" ref="A2:B8">
    <sortCondition ref="A2:A8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D10" sqref="D10"/>
    </sheetView>
  </sheetViews>
  <sheetFormatPr defaultRowHeight="13.8" x14ac:dyDescent="0.25"/>
  <sheetData>
    <row r="1" spans="1:8" x14ac:dyDescent="0.25">
      <c r="A1" s="7" t="s">
        <v>69</v>
      </c>
      <c r="B1" s="7" t="s">
        <v>70</v>
      </c>
      <c r="C1" s="7" t="s">
        <v>71</v>
      </c>
      <c r="G1" s="16" t="s">
        <v>72</v>
      </c>
      <c r="H1" s="16"/>
    </row>
    <row r="2" spans="1:8" x14ac:dyDescent="0.25">
      <c r="A2" s="5" t="s">
        <v>73</v>
      </c>
      <c r="B2" s="5">
        <v>81</v>
      </c>
      <c r="C2" s="5" t="str">
        <f>LOOKUP(B2,{0,60,70,80,90},{"不及格","合格","良好","中等","优秀"})</f>
        <v>中等</v>
      </c>
      <c r="G2" s="5">
        <v>0</v>
      </c>
      <c r="H2" s="5" t="s">
        <v>74</v>
      </c>
    </row>
    <row r="3" spans="1:8" x14ac:dyDescent="0.25">
      <c r="A3" s="5" t="s">
        <v>75</v>
      </c>
      <c r="B3" s="5">
        <v>99</v>
      </c>
      <c r="C3" s="5" t="str">
        <f>LOOKUP(B3,{0,60,70,80,90},{"不及格","合格","良好","中等","优秀"})</f>
        <v>优秀</v>
      </c>
      <c r="G3" s="5">
        <v>60</v>
      </c>
      <c r="H3" s="5" t="s">
        <v>76</v>
      </c>
    </row>
    <row r="4" spans="1:8" x14ac:dyDescent="0.25">
      <c r="A4" s="5" t="s">
        <v>77</v>
      </c>
      <c r="B4" s="5">
        <v>97</v>
      </c>
      <c r="C4" s="5" t="str">
        <f>LOOKUP(B4,{0,60,70,80,90},{"不及格","合格","良好","中等","优秀"})</f>
        <v>优秀</v>
      </c>
      <c r="G4" s="5">
        <v>70</v>
      </c>
      <c r="H4" s="5" t="s">
        <v>78</v>
      </c>
    </row>
    <row r="5" spans="1:8" x14ac:dyDescent="0.25">
      <c r="A5" s="5" t="s">
        <v>79</v>
      </c>
      <c r="B5" s="5">
        <v>96</v>
      </c>
      <c r="C5" s="5" t="str">
        <f>LOOKUP(B5,{0,60,70,80,90},{"不及格","合格","良好","中等","优秀"})</f>
        <v>优秀</v>
      </c>
      <c r="G5" s="5">
        <v>80</v>
      </c>
      <c r="H5" s="5" t="s">
        <v>80</v>
      </c>
    </row>
    <row r="6" spans="1:8" x14ac:dyDescent="0.25">
      <c r="A6" s="5" t="s">
        <v>81</v>
      </c>
      <c r="B6" s="5">
        <v>78</v>
      </c>
      <c r="C6" s="5" t="str">
        <f>LOOKUP(B6,{0,60,70,80,90},{"不及格","合格","良好","中等","优秀"})</f>
        <v>良好</v>
      </c>
      <c r="G6" s="5">
        <v>90</v>
      </c>
      <c r="H6" s="5" t="s">
        <v>82</v>
      </c>
    </row>
    <row r="7" spans="1:8" x14ac:dyDescent="0.25">
      <c r="A7" s="5" t="s">
        <v>83</v>
      </c>
      <c r="B7" s="5">
        <v>57</v>
      </c>
      <c r="C7" s="5" t="str">
        <f>LOOKUP(B7,{0,60,70,80,90},{"不及格","合格","良好","中等","优秀"})</f>
        <v>不及格</v>
      </c>
    </row>
    <row r="8" spans="1:8" x14ac:dyDescent="0.25">
      <c r="A8" s="5" t="s">
        <v>84</v>
      </c>
      <c r="B8" s="5">
        <v>76</v>
      </c>
      <c r="C8" s="5" t="str">
        <f>LOOKUP(B8,{0,60,70,80,90},{"不及格","合格","良好","中等","优秀"})</f>
        <v>良好</v>
      </c>
    </row>
    <row r="9" spans="1:8" x14ac:dyDescent="0.25">
      <c r="A9" s="5" t="s">
        <v>85</v>
      </c>
      <c r="B9" s="5">
        <v>99</v>
      </c>
      <c r="C9" s="5" t="str">
        <f>LOOKUP(B9,{0,60,70,80,90},{"不及格","合格","良好","中等","优秀"})</f>
        <v>优秀</v>
      </c>
    </row>
    <row r="10" spans="1:8" x14ac:dyDescent="0.25">
      <c r="A10" s="5" t="s">
        <v>86</v>
      </c>
      <c r="B10" s="5">
        <v>53</v>
      </c>
      <c r="C10" s="5" t="str">
        <f>LOOKUP(B10,{0,60,70,80,90},{"不及格","合格","良好","中等","优秀"})</f>
        <v>不及格</v>
      </c>
    </row>
    <row r="12" spans="1:8" x14ac:dyDescent="0.25">
      <c r="A12" t="s">
        <v>104</v>
      </c>
    </row>
    <row r="17" spans="1:1" x14ac:dyDescent="0.25">
      <c r="A17" t="s">
        <v>87</v>
      </c>
    </row>
  </sheetData>
  <mergeCells count="1">
    <mergeCell ref="G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O13" sqref="O13"/>
    </sheetView>
  </sheetViews>
  <sheetFormatPr defaultRowHeight="13.8" x14ac:dyDescent="0.25"/>
  <cols>
    <col min="1" max="1" width="13.77734375" customWidth="1"/>
    <col min="6" max="6" width="13.6640625" style="14" customWidth="1"/>
    <col min="7" max="10" width="8.88671875" style="14"/>
  </cols>
  <sheetData>
    <row r="1" spans="1:10" ht="20.399999999999999" x14ac:dyDescent="0.35">
      <c r="A1" s="17" t="s">
        <v>22</v>
      </c>
      <c r="B1" s="17"/>
      <c r="C1" s="17"/>
      <c r="F1" s="17" t="s">
        <v>23</v>
      </c>
      <c r="G1" s="17"/>
      <c r="H1" s="17"/>
      <c r="I1" s="17"/>
      <c r="J1" s="17"/>
    </row>
    <row r="2" spans="1:10" x14ac:dyDescent="0.25">
      <c r="A2" s="7" t="s">
        <v>24</v>
      </c>
      <c r="B2" s="7" t="s">
        <v>25</v>
      </c>
      <c r="C2" s="7" t="s">
        <v>26</v>
      </c>
      <c r="F2" s="11" t="s">
        <v>24</v>
      </c>
      <c r="G2" s="11" t="s">
        <v>25</v>
      </c>
      <c r="H2" s="11" t="s">
        <v>26</v>
      </c>
      <c r="I2" s="11" t="s">
        <v>27</v>
      </c>
      <c r="J2" s="11" t="s">
        <v>28</v>
      </c>
    </row>
    <row r="3" spans="1:10" x14ac:dyDescent="0.25">
      <c r="A3" s="5" t="s">
        <v>29</v>
      </c>
      <c r="B3" s="6">
        <v>1.6</v>
      </c>
      <c r="C3" s="6">
        <v>2</v>
      </c>
      <c r="F3" s="12" t="s">
        <v>30</v>
      </c>
      <c r="G3" s="12">
        <f>VLOOKUP($F3,$A$3:$C$13,G$21,0)</f>
        <v>1.6</v>
      </c>
      <c r="H3" s="12">
        <f>VLOOKUP($F3,$A$3:$C$13,H$21,0)</f>
        <v>2</v>
      </c>
      <c r="I3" s="12">
        <v>2</v>
      </c>
      <c r="J3" s="13">
        <f>(H3-G3)*I3</f>
        <v>0.79999999999999982</v>
      </c>
    </row>
    <row r="4" spans="1:10" x14ac:dyDescent="0.25">
      <c r="A4" s="5" t="s">
        <v>31</v>
      </c>
      <c r="B4" s="6">
        <v>1.6</v>
      </c>
      <c r="C4" s="6">
        <v>2</v>
      </c>
      <c r="F4" s="12" t="s">
        <v>32</v>
      </c>
      <c r="G4" s="12">
        <f>VLOOKUP($F4,$A$3:$C$13,G$21,0)</f>
        <v>1.6</v>
      </c>
      <c r="H4" s="12">
        <f>VLOOKUP($F4,$A$3:$C$13,H$21,0)</f>
        <v>2</v>
      </c>
      <c r="I4" s="12">
        <v>5</v>
      </c>
      <c r="J4" s="13">
        <f t="shared" ref="J4:J20" si="0">(H4-G4)*I4</f>
        <v>1.9999999999999996</v>
      </c>
    </row>
    <row r="5" spans="1:10" x14ac:dyDescent="0.25">
      <c r="A5" s="5" t="s">
        <v>33</v>
      </c>
      <c r="B5" s="6">
        <v>2</v>
      </c>
      <c r="C5" s="6">
        <v>2.5</v>
      </c>
      <c r="F5" s="12" t="s">
        <v>34</v>
      </c>
      <c r="G5" s="12">
        <f t="shared" ref="G5:H20" si="1">VLOOKUP($F5,$A$3:$C$13,G$21,0)</f>
        <v>2</v>
      </c>
      <c r="H5" s="12">
        <f t="shared" si="1"/>
        <v>2.5</v>
      </c>
      <c r="I5" s="12">
        <v>8</v>
      </c>
      <c r="J5" s="13">
        <f t="shared" si="0"/>
        <v>4</v>
      </c>
    </row>
    <row r="6" spans="1:10" x14ac:dyDescent="0.25">
      <c r="A6" s="5" t="s">
        <v>35</v>
      </c>
      <c r="B6" s="6">
        <v>2</v>
      </c>
      <c r="C6" s="6">
        <v>2.5</v>
      </c>
      <c r="F6" s="12" t="s">
        <v>36</v>
      </c>
      <c r="G6" s="12">
        <f t="shared" si="1"/>
        <v>2</v>
      </c>
      <c r="H6" s="12">
        <f t="shared" si="1"/>
        <v>2.5</v>
      </c>
      <c r="I6" s="12">
        <v>9</v>
      </c>
      <c r="J6" s="13">
        <f t="shared" si="0"/>
        <v>4.5</v>
      </c>
    </row>
    <row r="7" spans="1:10" x14ac:dyDescent="0.25">
      <c r="A7" s="5" t="s">
        <v>37</v>
      </c>
      <c r="B7" s="6">
        <v>1.6</v>
      </c>
      <c r="C7" s="6">
        <v>2</v>
      </c>
      <c r="F7" s="12" t="s">
        <v>38</v>
      </c>
      <c r="G7" s="12">
        <f t="shared" si="1"/>
        <v>1.6</v>
      </c>
      <c r="H7" s="12">
        <f t="shared" si="1"/>
        <v>2</v>
      </c>
      <c r="I7" s="12">
        <v>4</v>
      </c>
      <c r="J7" s="13">
        <f t="shared" si="0"/>
        <v>1.5999999999999996</v>
      </c>
    </row>
    <row r="8" spans="1:10" x14ac:dyDescent="0.25">
      <c r="A8" s="5" t="s">
        <v>39</v>
      </c>
      <c r="B8" s="6">
        <v>2</v>
      </c>
      <c r="C8" s="6">
        <v>2.5</v>
      </c>
      <c r="F8" s="12" t="s">
        <v>40</v>
      </c>
      <c r="G8" s="12">
        <f t="shared" si="1"/>
        <v>2</v>
      </c>
      <c r="H8" s="12">
        <f t="shared" si="1"/>
        <v>2.5</v>
      </c>
      <c r="I8" s="12">
        <v>1</v>
      </c>
      <c r="J8" s="13">
        <f t="shared" si="0"/>
        <v>0.5</v>
      </c>
    </row>
    <row r="9" spans="1:10" x14ac:dyDescent="0.25">
      <c r="A9" s="5" t="s">
        <v>41</v>
      </c>
      <c r="B9" s="6">
        <v>1.7</v>
      </c>
      <c r="C9" s="6">
        <v>2.2000000000000002</v>
      </c>
      <c r="F9" s="12" t="s">
        <v>42</v>
      </c>
      <c r="G9" s="12">
        <f t="shared" si="1"/>
        <v>1.7</v>
      </c>
      <c r="H9" s="12">
        <f t="shared" si="1"/>
        <v>2.2000000000000002</v>
      </c>
      <c r="I9" s="12">
        <v>1</v>
      </c>
      <c r="J9" s="13">
        <f t="shared" si="0"/>
        <v>0.50000000000000022</v>
      </c>
    </row>
    <row r="10" spans="1:10" x14ac:dyDescent="0.25">
      <c r="A10" s="5" t="s">
        <v>43</v>
      </c>
      <c r="B10" s="6">
        <v>2</v>
      </c>
      <c r="C10" s="6">
        <v>2.6</v>
      </c>
      <c r="F10" s="12" t="s">
        <v>44</v>
      </c>
      <c r="G10" s="12">
        <f t="shared" si="1"/>
        <v>2</v>
      </c>
      <c r="H10" s="12">
        <f t="shared" si="1"/>
        <v>2.6</v>
      </c>
      <c r="I10" s="12">
        <v>2</v>
      </c>
      <c r="J10" s="13">
        <f t="shared" si="0"/>
        <v>1.2000000000000002</v>
      </c>
    </row>
    <row r="11" spans="1:10" x14ac:dyDescent="0.25">
      <c r="A11" s="5" t="s">
        <v>45</v>
      </c>
      <c r="B11" s="6">
        <v>7.8</v>
      </c>
      <c r="C11" s="6">
        <v>9.8000000000000007</v>
      </c>
      <c r="F11" s="12" t="s">
        <v>46</v>
      </c>
      <c r="G11" s="12">
        <f t="shared" si="1"/>
        <v>7.8</v>
      </c>
      <c r="H11" s="12">
        <f t="shared" si="1"/>
        <v>9.8000000000000007</v>
      </c>
      <c r="I11" s="12">
        <v>6</v>
      </c>
      <c r="J11" s="13">
        <f t="shared" si="0"/>
        <v>12.000000000000005</v>
      </c>
    </row>
    <row r="12" spans="1:10" x14ac:dyDescent="0.25">
      <c r="A12" s="5" t="s">
        <v>47</v>
      </c>
      <c r="B12" s="6">
        <v>1.7</v>
      </c>
      <c r="C12" s="6">
        <v>2.2000000000000002</v>
      </c>
      <c r="F12" s="12" t="s">
        <v>48</v>
      </c>
      <c r="G12" s="12">
        <f t="shared" si="1"/>
        <v>1.7</v>
      </c>
      <c r="H12" s="12">
        <f t="shared" si="1"/>
        <v>2.2000000000000002</v>
      </c>
      <c r="I12" s="12">
        <v>3</v>
      </c>
      <c r="J12" s="13">
        <f t="shared" si="0"/>
        <v>1.5000000000000007</v>
      </c>
    </row>
    <row r="13" spans="1:10" x14ac:dyDescent="0.25">
      <c r="A13" s="5" t="s">
        <v>49</v>
      </c>
      <c r="B13" s="6">
        <v>7.8</v>
      </c>
      <c r="C13" s="6">
        <v>9.8000000000000007</v>
      </c>
      <c r="F13" s="12" t="s">
        <v>50</v>
      </c>
      <c r="G13" s="12">
        <f t="shared" si="1"/>
        <v>7.8</v>
      </c>
      <c r="H13" s="12">
        <f t="shared" si="1"/>
        <v>9.8000000000000007</v>
      </c>
      <c r="I13" s="12">
        <v>1</v>
      </c>
      <c r="J13" s="13">
        <f t="shared" si="0"/>
        <v>2.0000000000000009</v>
      </c>
    </row>
    <row r="14" spans="1:10" x14ac:dyDescent="0.25">
      <c r="F14" s="12" t="s">
        <v>30</v>
      </c>
      <c r="G14" s="12">
        <f t="shared" si="1"/>
        <v>1.6</v>
      </c>
      <c r="H14" s="12">
        <f t="shared" si="1"/>
        <v>2</v>
      </c>
      <c r="I14" s="12">
        <v>2</v>
      </c>
      <c r="J14" s="13">
        <f t="shared" si="0"/>
        <v>0.79999999999999982</v>
      </c>
    </row>
    <row r="15" spans="1:10" x14ac:dyDescent="0.25">
      <c r="F15" s="12" t="s">
        <v>32</v>
      </c>
      <c r="G15" s="12">
        <f t="shared" si="1"/>
        <v>1.6</v>
      </c>
      <c r="H15" s="12">
        <f t="shared" si="1"/>
        <v>2</v>
      </c>
      <c r="I15" s="12">
        <v>5</v>
      </c>
      <c r="J15" s="13">
        <f t="shared" si="0"/>
        <v>1.9999999999999996</v>
      </c>
    </row>
    <row r="16" spans="1:10" x14ac:dyDescent="0.25">
      <c r="F16" s="12" t="s">
        <v>34</v>
      </c>
      <c r="G16" s="12">
        <f t="shared" si="1"/>
        <v>2</v>
      </c>
      <c r="H16" s="12">
        <f t="shared" si="1"/>
        <v>2.5</v>
      </c>
      <c r="I16" s="12">
        <v>8</v>
      </c>
      <c r="J16" s="13">
        <f t="shared" si="0"/>
        <v>4</v>
      </c>
    </row>
    <row r="17" spans="6:10" x14ac:dyDescent="0.25">
      <c r="F17" s="12" t="s">
        <v>36</v>
      </c>
      <c r="G17" s="12">
        <f t="shared" si="1"/>
        <v>2</v>
      </c>
      <c r="H17" s="12">
        <f t="shared" si="1"/>
        <v>2.5</v>
      </c>
      <c r="I17" s="12">
        <v>9</v>
      </c>
      <c r="J17" s="13">
        <f t="shared" si="0"/>
        <v>4.5</v>
      </c>
    </row>
    <row r="18" spans="6:10" x14ac:dyDescent="0.25">
      <c r="F18" s="12" t="s">
        <v>38</v>
      </c>
      <c r="G18" s="12">
        <f t="shared" si="1"/>
        <v>1.6</v>
      </c>
      <c r="H18" s="12">
        <f t="shared" si="1"/>
        <v>2</v>
      </c>
      <c r="I18" s="12">
        <v>5</v>
      </c>
      <c r="J18" s="13">
        <f t="shared" si="0"/>
        <v>1.9999999999999996</v>
      </c>
    </row>
    <row r="19" spans="6:10" x14ac:dyDescent="0.25">
      <c r="F19" s="12" t="s">
        <v>40</v>
      </c>
      <c r="G19" s="12">
        <f t="shared" si="1"/>
        <v>2</v>
      </c>
      <c r="H19" s="12">
        <f t="shared" si="1"/>
        <v>2.5</v>
      </c>
      <c r="I19" s="12">
        <v>3</v>
      </c>
      <c r="J19" s="13">
        <f t="shared" si="0"/>
        <v>1.5</v>
      </c>
    </row>
    <row r="20" spans="6:10" x14ac:dyDescent="0.25">
      <c r="F20" s="12" t="s">
        <v>50</v>
      </c>
      <c r="G20" s="12">
        <f t="shared" si="1"/>
        <v>7.8</v>
      </c>
      <c r="H20" s="12">
        <f t="shared" si="1"/>
        <v>9.8000000000000007</v>
      </c>
      <c r="I20" s="12">
        <v>2</v>
      </c>
      <c r="J20" s="13">
        <f t="shared" si="0"/>
        <v>4.0000000000000018</v>
      </c>
    </row>
    <row r="21" spans="6:10" x14ac:dyDescent="0.25">
      <c r="G21" s="15">
        <v>2</v>
      </c>
      <c r="H21" s="15">
        <v>3</v>
      </c>
    </row>
  </sheetData>
  <mergeCells count="2">
    <mergeCell ref="A1:C1"/>
    <mergeCell ref="F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H6" sqref="H6"/>
    </sheetView>
  </sheetViews>
  <sheetFormatPr defaultRowHeight="13.8" x14ac:dyDescent="0.25"/>
  <sheetData>
    <row r="1" spans="1:5" x14ac:dyDescent="0.25">
      <c r="A1" s="7" t="s">
        <v>89</v>
      </c>
      <c r="B1" s="7" t="s">
        <v>90</v>
      </c>
      <c r="C1" s="7" t="s">
        <v>88</v>
      </c>
      <c r="D1" s="9" t="s">
        <v>89</v>
      </c>
      <c r="E1" s="9" t="s">
        <v>88</v>
      </c>
    </row>
    <row r="2" spans="1:5" x14ac:dyDescent="0.25">
      <c r="A2" s="5" t="s">
        <v>96</v>
      </c>
      <c r="B2" s="5">
        <v>95</v>
      </c>
      <c r="C2" s="5" t="s">
        <v>91</v>
      </c>
      <c r="D2" s="5" t="s">
        <v>101</v>
      </c>
      <c r="E2" s="5" t="str">
        <f>VLOOKUP(D2,A2:C6,3,0)</f>
        <v>李四</v>
      </c>
    </row>
    <row r="3" spans="1:5" x14ac:dyDescent="0.25">
      <c r="A3" s="5" t="s">
        <v>97</v>
      </c>
      <c r="B3" s="5">
        <v>90</v>
      </c>
      <c r="C3" s="5" t="s">
        <v>92</v>
      </c>
      <c r="D3" s="5" t="s">
        <v>102</v>
      </c>
      <c r="E3" s="5" t="str">
        <f>VLOOKUP(D3,A3:C7,3,0)</f>
        <v>周七</v>
      </c>
    </row>
    <row r="4" spans="1:5" x14ac:dyDescent="0.25">
      <c r="A4" s="5" t="s">
        <v>98</v>
      </c>
      <c r="B4" s="5">
        <v>88</v>
      </c>
      <c r="C4" s="5" t="s">
        <v>93</v>
      </c>
    </row>
    <row r="5" spans="1:5" x14ac:dyDescent="0.25">
      <c r="A5" s="5" t="s">
        <v>99</v>
      </c>
      <c r="B5" s="5">
        <v>98</v>
      </c>
      <c r="C5" s="5" t="s">
        <v>94</v>
      </c>
    </row>
    <row r="6" spans="1:5" x14ac:dyDescent="0.25">
      <c r="A6" s="5" t="s">
        <v>100</v>
      </c>
      <c r="B6" s="5">
        <v>79</v>
      </c>
      <c r="C6" s="5" t="s">
        <v>95</v>
      </c>
    </row>
    <row r="10" spans="1:5" x14ac:dyDescent="0.25">
      <c r="A10" t="s">
        <v>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activeCell="I2" sqref="I2"/>
    </sheetView>
  </sheetViews>
  <sheetFormatPr defaultRowHeight="13.8" x14ac:dyDescent="0.25"/>
  <sheetData>
    <row r="1" spans="1:8" x14ac:dyDescent="0.25">
      <c r="A1" s="7" t="s">
        <v>88</v>
      </c>
      <c r="B1" s="7" t="s">
        <v>89</v>
      </c>
      <c r="C1" s="7" t="s">
        <v>105</v>
      </c>
      <c r="D1" s="7" t="s">
        <v>106</v>
      </c>
      <c r="E1" s="7" t="s">
        <v>107</v>
      </c>
      <c r="G1" s="9" t="s">
        <v>108</v>
      </c>
      <c r="H1" s="9" t="s">
        <v>109</v>
      </c>
    </row>
    <row r="2" spans="1:8" x14ac:dyDescent="0.25">
      <c r="A2" s="5" t="s">
        <v>91</v>
      </c>
      <c r="B2" s="5" t="s">
        <v>96</v>
      </c>
      <c r="C2" s="5">
        <v>95</v>
      </c>
      <c r="D2" s="5">
        <v>96</v>
      </c>
      <c r="E2" s="5">
        <v>80</v>
      </c>
      <c r="G2" s="5" t="s">
        <v>110</v>
      </c>
      <c r="H2" s="5" cm="1">
        <f t="array" ref="H2">SUM(VLOOKUP(G2,A2:E6,{3,4,5},0))</f>
        <v>271</v>
      </c>
    </row>
    <row r="3" spans="1:8" x14ac:dyDescent="0.25">
      <c r="A3" s="5" t="s">
        <v>92</v>
      </c>
      <c r="B3" s="5" t="s">
        <v>97</v>
      </c>
      <c r="C3" s="5">
        <v>90</v>
      </c>
      <c r="D3" s="5">
        <v>88</v>
      </c>
      <c r="E3" s="5">
        <v>99</v>
      </c>
    </row>
    <row r="4" spans="1:8" x14ac:dyDescent="0.25">
      <c r="A4" s="5" t="s">
        <v>93</v>
      </c>
      <c r="B4" s="5" t="s">
        <v>98</v>
      </c>
      <c r="C4" s="5">
        <v>88</v>
      </c>
      <c r="D4" s="5">
        <v>75</v>
      </c>
      <c r="E4" s="5">
        <v>84</v>
      </c>
    </row>
    <row r="5" spans="1:8" x14ac:dyDescent="0.25">
      <c r="A5" s="5" t="s">
        <v>94</v>
      </c>
      <c r="B5" s="5" t="s">
        <v>99</v>
      </c>
      <c r="C5" s="5">
        <v>98</v>
      </c>
      <c r="D5" s="5">
        <v>91</v>
      </c>
      <c r="E5" s="5">
        <v>82</v>
      </c>
    </row>
    <row r="6" spans="1:8" x14ac:dyDescent="0.25">
      <c r="A6" s="5" t="s">
        <v>95</v>
      </c>
      <c r="B6" s="5" t="s">
        <v>100</v>
      </c>
      <c r="C6" s="5">
        <v>79</v>
      </c>
      <c r="D6" s="5">
        <v>68</v>
      </c>
      <c r="E6" s="5">
        <v>70</v>
      </c>
    </row>
    <row r="10" spans="1:8" x14ac:dyDescent="0.25">
      <c r="A10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tabSelected="1" workbookViewId="0">
      <selection activeCell="I6" sqref="I6"/>
    </sheetView>
  </sheetViews>
  <sheetFormatPr defaultRowHeight="13.8" x14ac:dyDescent="0.25"/>
  <sheetData>
    <row r="1" spans="1:8" x14ac:dyDescent="0.25">
      <c r="A1" s="7" t="s">
        <v>108</v>
      </c>
      <c r="B1" s="7" t="s">
        <v>112</v>
      </c>
      <c r="C1" s="7" t="s">
        <v>113</v>
      </c>
      <c r="F1" s="9" t="s">
        <v>108</v>
      </c>
      <c r="G1" s="9" t="s">
        <v>112</v>
      </c>
      <c r="H1" s="9" t="s">
        <v>113</v>
      </c>
    </row>
    <row r="2" spans="1:8" x14ac:dyDescent="0.25">
      <c r="A2" s="5" t="s">
        <v>114</v>
      </c>
      <c r="B2" s="5" t="s">
        <v>115</v>
      </c>
      <c r="C2" s="5">
        <v>5620</v>
      </c>
      <c r="F2" s="5" t="s">
        <v>114</v>
      </c>
      <c r="G2" s="5" t="s">
        <v>118</v>
      </c>
      <c r="H2" s="5" t="str" cm="1">
        <f t="array" ref="H2">IF(AND(G2="张三",G2="店铺C"),VLOOKUP(F2:G2,$A$2:$C$6,3,0),"")</f>
        <v/>
      </c>
    </row>
    <row r="3" spans="1:8" x14ac:dyDescent="0.25">
      <c r="A3" s="5" t="s">
        <v>116</v>
      </c>
      <c r="B3" s="5" t="s">
        <v>117</v>
      </c>
      <c r="C3" s="5">
        <v>6500</v>
      </c>
    </row>
    <row r="4" spans="1:8" x14ac:dyDescent="0.25">
      <c r="A4" s="5" t="s">
        <v>114</v>
      </c>
      <c r="B4" s="5" t="s">
        <v>118</v>
      </c>
      <c r="C4" s="5">
        <v>5800</v>
      </c>
    </row>
    <row r="5" spans="1:8" x14ac:dyDescent="0.25">
      <c r="A5" s="5" t="s">
        <v>110</v>
      </c>
      <c r="B5" s="5" t="s">
        <v>119</v>
      </c>
      <c r="C5" s="5">
        <v>7200</v>
      </c>
    </row>
    <row r="6" spans="1:8" x14ac:dyDescent="0.25">
      <c r="A6" s="5" t="s">
        <v>120</v>
      </c>
      <c r="B6" s="5" t="s">
        <v>121</v>
      </c>
      <c r="C6" s="5">
        <v>3500</v>
      </c>
    </row>
    <row r="9" spans="1:8" x14ac:dyDescent="0.25">
      <c r="A9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练习题1</vt:lpstr>
      <vt:lpstr>练习题2</vt:lpstr>
      <vt:lpstr>练习题3</vt:lpstr>
      <vt:lpstr>练习题4</vt:lpstr>
      <vt:lpstr>练习题5</vt:lpstr>
      <vt:lpstr>练习题6</vt:lpstr>
      <vt:lpstr>练习题7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2024-10-24T09:19:01Z</dcterms:modified>
</cp:coreProperties>
</file>