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5B9359FC-8847-4932-9D13-841DA864081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练习题1" sheetId="1" r:id="rId1"/>
    <sheet name="练习题2" sheetId="2" r:id="rId2"/>
    <sheet name="练习题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2" l="1" a="1"/>
  <c r="I2" i="2" s="1"/>
  <c r="H2" i="3" a="1"/>
  <c r="H2" i="3" s="1"/>
  <c r="E3" i="2"/>
  <c r="I3" i="1"/>
  <c r="I4" i="1"/>
  <c r="I5" i="1"/>
  <c r="I6" i="1"/>
  <c r="I7" i="1"/>
  <c r="I2" i="1"/>
  <c r="F4" i="1"/>
  <c r="F3" i="1"/>
  <c r="F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<sst xmlns="http://schemas.openxmlformats.org/spreadsheetml/2006/main" count="60" uniqueCount="25">
  <si>
    <t>姓名</t>
    <phoneticPr fontId="1" type="noConversion"/>
  </si>
  <si>
    <t>性别</t>
    <phoneticPr fontId="1" type="noConversion"/>
  </si>
  <si>
    <t>成绩</t>
    <phoneticPr fontId="1" type="noConversion"/>
  </si>
  <si>
    <t>华欣琪</t>
    <phoneticPr fontId="1" type="noConversion"/>
  </si>
  <si>
    <t>女</t>
    <phoneticPr fontId="1" type="noConversion"/>
  </si>
  <si>
    <t>孔光桃</t>
    <phoneticPr fontId="1" type="noConversion"/>
  </si>
  <si>
    <t>曹秋</t>
    <phoneticPr fontId="1" type="noConversion"/>
  </si>
  <si>
    <t>男</t>
    <phoneticPr fontId="1" type="noConversion"/>
  </si>
  <si>
    <t>孔计香</t>
    <phoneticPr fontId="1" type="noConversion"/>
  </si>
  <si>
    <t>冯忠娇</t>
    <phoneticPr fontId="1" type="noConversion"/>
  </si>
  <si>
    <t>孔盼</t>
    <phoneticPr fontId="1" type="noConversion"/>
  </si>
  <si>
    <t>第二名的成绩</t>
    <phoneticPr fontId="1" type="noConversion"/>
  </si>
  <si>
    <t>第三名的成绩</t>
    <phoneticPr fontId="1" type="noConversion"/>
  </si>
  <si>
    <t>第四名的成绩</t>
    <phoneticPr fontId="1" type="noConversion"/>
  </si>
  <si>
    <t>名次</t>
    <phoneticPr fontId="1" type="noConversion"/>
  </si>
  <si>
    <t>求出大于80分的最低分</t>
    <phoneticPr fontId="1" type="noConversion"/>
  </si>
  <si>
    <t>问题:</t>
    <phoneticPr fontId="1" type="noConversion"/>
  </si>
  <si>
    <t>第一名</t>
    <phoneticPr fontId="1" type="noConversion"/>
  </si>
  <si>
    <t>第二名</t>
    <phoneticPr fontId="1" type="noConversion"/>
  </si>
  <si>
    <t>第三名</t>
    <phoneticPr fontId="1" type="noConversion"/>
  </si>
  <si>
    <t>第四名</t>
    <phoneticPr fontId="1" type="noConversion"/>
  </si>
  <si>
    <t>第五名</t>
    <phoneticPr fontId="1" type="noConversion"/>
  </si>
  <si>
    <t>第六名</t>
    <phoneticPr fontId="1" type="noConversion"/>
  </si>
  <si>
    <t>求出前3名的平均分</t>
    <phoneticPr fontId="1" type="noConversion"/>
  </si>
  <si>
    <t>问题：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</si>
</sst>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workbookViewId="0">
      <selection activeCell="K9" sqref="K9"/>
    </sheetView>
  </sheetViews>
  <sheetFormatPr defaultRowHeight="13.8" x14ac:dyDescent="0.25"/>
  <cols>
    <col min="5" max="5" width="12.109375" customWidth="1"/>
    <col min="6" max="6" width="8.88671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H1" s="3" t="s">
        <v>14</v>
      </c>
      <c r="I1" s="3" t="s">
        <v>2</v>
      </c>
    </row>
    <row r="2" spans="1:10" x14ac:dyDescent="0.25">
      <c r="A2" s="2" t="s">
        <v>3</v>
      </c>
      <c r="B2" s="2" t="s">
        <v>4</v>
      </c>
      <c r="C2" s="2">
        <v>72</v>
      </c>
      <c r="E2" s="2" t="s">
        <v>11</v>
      </c>
      <c r="F2" s="2">
        <f>LARGE($C$2:$C$7,2)</f>
        <v>81</v>
      </c>
      <c r="H2" s="2" t="s">
        <v>17</v>
      </c>
      <c r="I2" s="2">
        <f>LARGE($C$2:$C$7,$J2)</f>
        <v>93</v>
      </c>
      <c r="J2">
        <v>1</v>
      </c>
    </row>
    <row r="3" spans="1:10" x14ac:dyDescent="0.25">
      <c r="A3" s="2" t="s">
        <v>5</v>
      </c>
      <c r="B3" s="2" t="s">
        <v>4</v>
      </c>
      <c r="C3" s="2">
        <v>56</v>
      </c>
      <c r="E3" s="2" t="s">
        <v>12</v>
      </c>
      <c r="F3" s="2">
        <f>LARGE($C$2:$C$7,3)</f>
        <v>72</v>
      </c>
      <c r="H3" s="2" t="s">
        <v>18</v>
      </c>
      <c r="I3" s="2">
        <f t="shared" ref="I3:I7" si="0">LARGE($C$2:$C$7,$J3)</f>
        <v>81</v>
      </c>
      <c r="J3">
        <v>2</v>
      </c>
    </row>
    <row r="4" spans="1:10" x14ac:dyDescent="0.25">
      <c r="A4" s="2" t="s">
        <v>6</v>
      </c>
      <c r="B4" s="2" t="s">
        <v>7</v>
      </c>
      <c r="C4" s="2">
        <v>93</v>
      </c>
      <c r="E4" s="2" t="s">
        <v>13</v>
      </c>
      <c r="F4" s="2">
        <f>LARGE($C$2:$C$7,4)</f>
        <v>67</v>
      </c>
      <c r="H4" s="2" t="s">
        <v>19</v>
      </c>
      <c r="I4" s="2">
        <f t="shared" si="0"/>
        <v>72</v>
      </c>
      <c r="J4">
        <v>3</v>
      </c>
    </row>
    <row r="5" spans="1:10" x14ac:dyDescent="0.25">
      <c r="A5" s="2" t="s">
        <v>8</v>
      </c>
      <c r="B5" s="2" t="s">
        <v>4</v>
      </c>
      <c r="C5" s="2">
        <v>81</v>
      </c>
      <c r="H5" s="2" t="s">
        <v>20</v>
      </c>
      <c r="I5" s="2">
        <f t="shared" si="0"/>
        <v>67</v>
      </c>
      <c r="J5">
        <v>4</v>
      </c>
    </row>
    <row r="6" spans="1:10" x14ac:dyDescent="0.25">
      <c r="A6" s="2" t="s">
        <v>9</v>
      </c>
      <c r="B6" s="2" t="s">
        <v>4</v>
      </c>
      <c r="C6" s="2">
        <v>67</v>
      </c>
      <c r="H6" s="2" t="s">
        <v>21</v>
      </c>
      <c r="I6" s="2">
        <f t="shared" si="0"/>
        <v>56</v>
      </c>
      <c r="J6">
        <v>5</v>
      </c>
    </row>
    <row r="7" spans="1:10" x14ac:dyDescent="0.25">
      <c r="A7" s="2" t="s">
        <v>10</v>
      </c>
      <c r="B7" s="2" t="s">
        <v>7</v>
      </c>
      <c r="C7" s="2">
        <v>55</v>
      </c>
      <c r="H7" s="2" t="s">
        <v>22</v>
      </c>
      <c r="I7" s="2">
        <f t="shared" si="0"/>
        <v>55</v>
      </c>
      <c r="J7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tabSelected="1" workbookViewId="0">
      <selection activeCell="I5" sqref="I5"/>
    </sheetView>
  </sheetViews>
  <sheetFormatPr defaultRowHeight="13.8" x14ac:dyDescent="0.25"/>
  <sheetData>
    <row r="1" spans="1:9" x14ac:dyDescent="0.25">
      <c r="A1" s="1" t="s">
        <v>0</v>
      </c>
      <c r="B1" s="1" t="s">
        <v>1</v>
      </c>
      <c r="C1" s="1" t="s">
        <v>2</v>
      </c>
    </row>
    <row r="2" spans="1:9" x14ac:dyDescent="0.25">
      <c r="A2" s="2" t="s">
        <v>3</v>
      </c>
      <c r="B2" s="2" t="s">
        <v>4</v>
      </c>
      <c r="C2" s="2">
        <v>72</v>
      </c>
      <c r="E2" t="s">
        <v>16</v>
      </c>
      <c r="F2" t="s">
        <v>15</v>
      </c>
      <c r="I2" cm="1">
        <f t="array" ref="I2">SMALL(IF(C2:C7&gt;80,C2:C7),1)</f>
        <v>81</v>
      </c>
    </row>
    <row r="3" spans="1:9" x14ac:dyDescent="0.25">
      <c r="A3" s="2" t="s">
        <v>5</v>
      </c>
      <c r="B3" s="2" t="s">
        <v>4</v>
      </c>
      <c r="C3" s="2">
        <v>56</v>
      </c>
      <c r="E3">
        <f>MIN(C4:C5)</f>
        <v>81</v>
      </c>
    </row>
    <row r="4" spans="1:9" x14ac:dyDescent="0.25">
      <c r="A4" s="2" t="s">
        <v>6</v>
      </c>
      <c r="B4" s="2" t="s">
        <v>7</v>
      </c>
      <c r="C4" s="2">
        <v>93</v>
      </c>
    </row>
    <row r="5" spans="1:9" x14ac:dyDescent="0.25">
      <c r="A5" s="2" t="s">
        <v>8</v>
      </c>
      <c r="B5" s="2" t="s">
        <v>4</v>
      </c>
      <c r="C5" s="2">
        <v>81</v>
      </c>
    </row>
    <row r="6" spans="1:9" x14ac:dyDescent="0.25">
      <c r="A6" s="2" t="s">
        <v>9</v>
      </c>
      <c r="B6" s="2" t="s">
        <v>4</v>
      </c>
      <c r="C6" s="2">
        <v>67</v>
      </c>
    </row>
    <row r="7" spans="1:9" x14ac:dyDescent="0.25">
      <c r="A7" s="2" t="s">
        <v>10</v>
      </c>
      <c r="B7" s="2" t="s">
        <v>7</v>
      </c>
      <c r="C7" s="2">
        <v>55</v>
      </c>
    </row>
  </sheetData>
  <phoneticPr fontId="1" type="noConversion"/>
  <conditionalFormatting sqref="C2:C7">
    <cfRule type="cellIs" dxfId="0" priority="1" operator="greaterThan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>
      <selection activeCell="F4" sqref="F4"/>
    </sheetView>
  </sheetViews>
  <sheetFormatPr defaultRowHeight="13.8" x14ac:dyDescent="0.25"/>
  <sheetData>
    <row r="1" spans="1:8" x14ac:dyDescent="0.25">
      <c r="A1" s="1" t="s">
        <v>0</v>
      </c>
      <c r="B1" s="1" t="s">
        <v>1</v>
      </c>
      <c r="C1" s="1" t="s">
        <v>2</v>
      </c>
    </row>
    <row r="2" spans="1:8" x14ac:dyDescent="0.25">
      <c r="A2" s="2" t="s">
        <v>3</v>
      </c>
      <c r="B2" s="2" t="s">
        <v>4</v>
      </c>
      <c r="C2" s="2">
        <v>72</v>
      </c>
      <c r="E2" t="s">
        <v>24</v>
      </c>
      <c r="F2" t="s">
        <v>23</v>
      </c>
      <c r="H2" cm="1">
        <f t="array" ref="H2">AVERAGE(LARGE(C2:C7,{1,2,3}))</f>
        <v>82</v>
      </c>
    </row>
    <row r="3" spans="1:8" x14ac:dyDescent="0.25">
      <c r="A3" s="2" t="s">
        <v>5</v>
      </c>
      <c r="B3" s="2" t="s">
        <v>4</v>
      </c>
      <c r="C3" s="2">
        <v>56</v>
      </c>
    </row>
    <row r="4" spans="1:8" x14ac:dyDescent="0.25">
      <c r="A4" s="2" t="s">
        <v>6</v>
      </c>
      <c r="B4" s="2" t="s">
        <v>7</v>
      </c>
      <c r="C4" s="2">
        <v>93</v>
      </c>
    </row>
    <row r="5" spans="1:8" x14ac:dyDescent="0.25">
      <c r="A5" s="2" t="s">
        <v>8</v>
      </c>
      <c r="B5" s="2" t="s">
        <v>4</v>
      </c>
      <c r="C5" s="2">
        <v>81</v>
      </c>
    </row>
    <row r="6" spans="1:8" x14ac:dyDescent="0.25">
      <c r="A6" s="2" t="s">
        <v>9</v>
      </c>
      <c r="B6" s="2" t="s">
        <v>4</v>
      </c>
      <c r="C6" s="2">
        <v>67</v>
      </c>
    </row>
    <row r="7" spans="1:8" x14ac:dyDescent="0.25">
      <c r="A7" s="2" t="s">
        <v>10</v>
      </c>
      <c r="B7" s="2" t="s">
        <v>7</v>
      </c>
      <c r="C7" s="2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练习题1</vt:lpstr>
      <vt:lpstr>练习题2</vt:lpstr>
      <vt:lpstr>练习题3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2024-10-26T12:16:49Z</dcterms:modified>
</cp:coreProperties>
</file>