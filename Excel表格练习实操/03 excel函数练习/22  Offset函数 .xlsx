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3DEF5601-D121-4EC8-BCEC-C46D7D8EA4C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练习题1" sheetId="1" r:id="rId1"/>
    <sheet name="练习题2" sheetId="2" r:id="rId2"/>
    <sheet name="练习题3" sheetId="3" r:id="rId3"/>
    <sheet name="练习题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4" l="1"/>
  <c r="B8" i="4"/>
  <c r="B9" i="4"/>
  <c r="C9" i="4"/>
  <c r="D9" i="4"/>
  <c r="E9" i="4"/>
  <c r="B10" i="4"/>
  <c r="C10" i="4"/>
  <c r="D10" i="4"/>
  <c r="E10" i="4"/>
  <c r="D8" i="4"/>
  <c r="E8" i="4"/>
  <c r="E3" i="3"/>
  <c r="E4" i="3"/>
  <c r="E5" i="3"/>
  <c r="E2" i="3"/>
  <c r="B11" i="1"/>
  <c r="H11" i="1"/>
  <c r="F7" i="2" l="1"/>
  <c r="H7" i="2" s="1"/>
  <c r="F6" i="2"/>
  <c r="H6" i="2" s="1"/>
  <c r="F5" i="2"/>
  <c r="H5" i="2" s="1"/>
  <c r="F4" i="2"/>
  <c r="H4" i="2" s="1"/>
  <c r="F3" i="2"/>
  <c r="H3" i="2" s="1"/>
  <c r="F2" i="2"/>
  <c r="H2" i="2" l="1"/>
</calcChain>
</file>

<file path=xl/sharedStrings.xml><?xml version="1.0" encoding="utf-8"?>
<sst xmlns="http://schemas.openxmlformats.org/spreadsheetml/2006/main" count="130" uniqueCount="81">
  <si>
    <t>月份</t>
    <phoneticPr fontId="1" type="noConversion"/>
  </si>
  <si>
    <t>销售额</t>
    <phoneticPr fontId="1" type="noConversion"/>
  </si>
  <si>
    <t>季度</t>
    <phoneticPr fontId="1" type="noConversion"/>
  </si>
  <si>
    <t>总销售额</t>
    <phoneticPr fontId="1" type="noConversion"/>
  </si>
  <si>
    <t>一季度</t>
    <phoneticPr fontId="1" type="noConversion"/>
  </si>
  <si>
    <t>二季度</t>
    <phoneticPr fontId="1" type="noConversion"/>
  </si>
  <si>
    <t>三季度</t>
    <phoneticPr fontId="1" type="noConversion"/>
  </si>
  <si>
    <t>四季度</t>
    <phoneticPr fontId="1" type="noConversion"/>
  </si>
  <si>
    <t>门店</t>
    <phoneticPr fontId="1" type="noConversion"/>
  </si>
  <si>
    <t>一月</t>
    <phoneticPr fontId="1" type="noConversion"/>
  </si>
  <si>
    <t>二月</t>
    <phoneticPr fontId="1" type="noConversion"/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</si>
  <si>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</si>
  <si>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</si>
  <si>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</si>
  <si>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</si>
  <si>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</si>
  <si>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</si>
  <si>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</si>
  <si>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</si>
  <si>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</si>
  <si>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</si>
  <si>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门店A</t>
    <phoneticPr fontId="1" type="noConversion"/>
  </si>
  <si>
    <t>门店B</t>
    <phoneticPr fontId="1" type="noConversion"/>
  </si>
  <si>
    <t>门店C</t>
    <phoneticPr fontId="1" type="noConversion"/>
  </si>
  <si>
    <t>提示：用offset+row+sum</t>
    <phoneticPr fontId="1" type="noConversion"/>
  </si>
  <si>
    <t>提示:用函数Offset+column+sum</t>
    <phoneticPr fontId="1" type="noConversion"/>
  </si>
  <si>
    <t>英语</t>
    <phoneticPr fontId="1" type="noConversion"/>
  </si>
  <si>
    <t>语文</t>
    <phoneticPr fontId="1" type="noConversion"/>
  </si>
  <si>
    <t>数学</t>
    <phoneticPr fontId="1" type="noConversion"/>
  </si>
  <si>
    <t>政治</t>
    <phoneticPr fontId="1" type="noConversion"/>
  </si>
  <si>
    <t>姓名</t>
    <phoneticPr fontId="1" type="noConversion"/>
  </si>
  <si>
    <t>韩丽</t>
    <phoneticPr fontId="1" type="noConversion"/>
  </si>
  <si>
    <t>许灿怡</t>
    <phoneticPr fontId="1" type="noConversion"/>
  </si>
  <si>
    <t>王露</t>
    <phoneticPr fontId="1" type="noConversion"/>
  </si>
  <si>
    <t>卫光兰</t>
    <phoneticPr fontId="1" type="noConversion"/>
  </si>
  <si>
    <t>魏彤</t>
    <phoneticPr fontId="1" type="noConversion"/>
  </si>
  <si>
    <t>原始区域：</t>
    <phoneticPr fontId="1" type="noConversion"/>
  </si>
  <si>
    <t>偏移几行：</t>
    <phoneticPr fontId="1" type="noConversion"/>
  </si>
  <si>
    <t>偏移几列：</t>
    <phoneticPr fontId="1" type="noConversion"/>
  </si>
  <si>
    <t>扩展为几行：</t>
    <phoneticPr fontId="1" type="noConversion"/>
  </si>
  <si>
    <t>扩展为几列：</t>
    <phoneticPr fontId="1" type="noConversion"/>
  </si>
  <si>
    <t>正数，向下偏移；负数，向上偏移</t>
    <phoneticPr fontId="1" type="noConversion"/>
  </si>
  <si>
    <t>正数，向右偏移；负数，向左偏移</t>
    <phoneticPr fontId="1" type="noConversion"/>
  </si>
  <si>
    <t>必须是正数；可省略</t>
    <phoneticPr fontId="1" type="noConversion"/>
  </si>
  <si>
    <t>结果：</t>
    <phoneticPr fontId="1" type="noConversion"/>
  </si>
  <si>
    <t>思考题：</t>
    <phoneticPr fontId="1" type="noConversion"/>
  </si>
  <si>
    <t>姓名</t>
    <phoneticPr fontId="1" type="noConversion"/>
  </si>
  <si>
    <t>总分</t>
    <phoneticPr fontId="1" type="noConversion"/>
  </si>
  <si>
    <t>施丽丽</t>
    <phoneticPr fontId="1" type="noConversion"/>
  </si>
  <si>
    <t>姓名</t>
    <phoneticPr fontId="3" type="noConversion"/>
  </si>
  <si>
    <t>基本工资</t>
    <phoneticPr fontId="3" type="noConversion"/>
  </si>
  <si>
    <t>社保</t>
    <phoneticPr fontId="3" type="noConversion"/>
  </si>
  <si>
    <t>医保</t>
    <phoneticPr fontId="3" type="noConversion"/>
  </si>
  <si>
    <t>绩效</t>
    <phoneticPr fontId="3" type="noConversion"/>
  </si>
  <si>
    <t>应发工资</t>
    <phoneticPr fontId="3" type="noConversion"/>
  </si>
  <si>
    <t>个税</t>
    <phoneticPr fontId="3" type="noConversion"/>
  </si>
  <si>
    <t>实发工资</t>
    <phoneticPr fontId="3" type="noConversion"/>
  </si>
  <si>
    <t>吴芳</t>
    <phoneticPr fontId="1" type="noConversion"/>
  </si>
  <si>
    <t>钱静欣</t>
    <phoneticPr fontId="1" type="noConversion"/>
  </si>
  <si>
    <t>杨元珊</t>
    <phoneticPr fontId="1" type="noConversion"/>
  </si>
  <si>
    <t>穆悦明</t>
    <phoneticPr fontId="1" type="noConversion"/>
  </si>
  <si>
    <t>韩桂花</t>
    <phoneticPr fontId="1" type="noConversion"/>
  </si>
  <si>
    <t>赵丽</t>
    <phoneticPr fontId="1" type="noConversion"/>
  </si>
  <si>
    <t>制作工资条</t>
    <phoneticPr fontId="1" type="noConversion"/>
  </si>
  <si>
    <t>偏移的起点</t>
    <phoneticPr fontId="1" type="noConversion"/>
  </si>
  <si>
    <t>C4</t>
    <phoneticPr fontId="1" type="noConversion"/>
  </si>
  <si>
    <t>施丽丽</t>
  </si>
  <si>
    <t>姓名</t>
  </si>
  <si>
    <t>基本工资</t>
  </si>
  <si>
    <t>社保</t>
  </si>
  <si>
    <t>医保</t>
  </si>
  <si>
    <t>绩效</t>
  </si>
  <si>
    <t>应发工资</t>
  </si>
  <si>
    <t>个税</t>
  </si>
  <si>
    <t>实发工资</t>
  </si>
  <si>
    <t>吴芳</t>
  </si>
  <si>
    <t>钱静欣</t>
  </si>
  <si>
    <t>杨元珊</t>
  </si>
  <si>
    <t>穆悦明</t>
  </si>
  <si>
    <t>韩桂花</t>
  </si>
  <si>
    <t>赵丽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</si>
</sst>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);[Red]\(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177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0" fontId="5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常规" xfId="0" builtinId="0"/>
  </cellStyles>
  <dxfs count="1">
    <dxf>
      <fill>
        <patternFill>
          <bgColor rgb="FFB9FC98"/>
        </patternFill>
      </fill>
    </dxf>
  </dxfs>
  <tableStyles count="0" defaultTableStyle="TableStyleMedium2" defaultPivotStyle="PivotStyleLight16"/>
  <colors>
    <mruColors>
      <color rgb="FFB9FC98"/>
      <color rgb="FF99CC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37000</xdr:colOff>
      <xdr:row>1</xdr:row>
      <xdr:rowOff>121568</xdr:rowOff>
    </xdr:from>
    <xdr:to>
      <xdr:col>8</xdr:col>
      <xdr:colOff>671266</xdr:colOff>
      <xdr:row>5</xdr:row>
      <xdr:rowOff>116282</xdr:rowOff>
    </xdr:to>
    <xdr:sp macro="" textlink="">
      <xdr:nvSpPr>
        <xdr:cNvPr id="2" name="右箭头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449402" y="295991"/>
          <a:ext cx="634266" cy="6924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workbookViewId="0">
      <selection activeCell="I19" sqref="I19"/>
    </sheetView>
  </sheetViews>
  <sheetFormatPr defaultRowHeight="13.8" x14ac:dyDescent="0.25"/>
  <cols>
    <col min="7" max="7" width="11.44140625" customWidth="1"/>
    <col min="9" max="9" width="29.88671875" customWidth="1"/>
  </cols>
  <sheetData>
    <row r="1" spans="1:9" x14ac:dyDescent="0.25">
      <c r="A1" s="1" t="s">
        <v>30</v>
      </c>
      <c r="B1" s="1" t="s">
        <v>26</v>
      </c>
      <c r="C1" s="1" t="s">
        <v>27</v>
      </c>
      <c r="D1" s="1" t="s">
        <v>28</v>
      </c>
      <c r="E1" s="1" t="s">
        <v>29</v>
      </c>
      <c r="G1" s="21" t="s">
        <v>36</v>
      </c>
      <c r="H1" s="22" t="s">
        <v>65</v>
      </c>
      <c r="I1" s="20" t="s">
        <v>64</v>
      </c>
    </row>
    <row r="2" spans="1:9" x14ac:dyDescent="0.25">
      <c r="A2" s="1" t="s">
        <v>31</v>
      </c>
      <c r="B2" s="1">
        <v>78</v>
      </c>
      <c r="C2" s="1">
        <v>59</v>
      </c>
      <c r="D2" s="1">
        <v>73</v>
      </c>
      <c r="E2" s="1">
        <v>87</v>
      </c>
      <c r="G2" s="21"/>
      <c r="H2" s="22"/>
      <c r="I2" s="20"/>
    </row>
    <row r="3" spans="1:9" x14ac:dyDescent="0.25">
      <c r="A3" s="1" t="s">
        <v>32</v>
      </c>
      <c r="B3" s="1">
        <v>91</v>
      </c>
      <c r="C3" s="1">
        <v>79</v>
      </c>
      <c r="D3" s="1">
        <v>77</v>
      </c>
      <c r="E3" s="1">
        <v>80</v>
      </c>
      <c r="G3" s="21" t="s">
        <v>37</v>
      </c>
      <c r="H3" s="22">
        <v>0</v>
      </c>
      <c r="I3" s="20" t="s">
        <v>41</v>
      </c>
    </row>
    <row r="4" spans="1:9" x14ac:dyDescent="0.25">
      <c r="A4" s="1" t="s">
        <v>33</v>
      </c>
      <c r="B4" s="1">
        <v>64</v>
      </c>
      <c r="C4" s="14">
        <v>85</v>
      </c>
      <c r="D4" s="1">
        <v>67</v>
      </c>
      <c r="E4" s="1">
        <v>97</v>
      </c>
      <c r="G4" s="21"/>
      <c r="H4" s="22"/>
      <c r="I4" s="20"/>
    </row>
    <row r="5" spans="1:9" x14ac:dyDescent="0.25">
      <c r="A5" s="1" t="s">
        <v>48</v>
      </c>
      <c r="B5" s="1">
        <v>69</v>
      </c>
      <c r="C5" s="1">
        <v>59</v>
      </c>
      <c r="D5" s="1">
        <v>57</v>
      </c>
      <c r="E5" s="1">
        <v>87</v>
      </c>
      <c r="G5" s="21" t="s">
        <v>38</v>
      </c>
      <c r="H5" s="22">
        <v>0</v>
      </c>
      <c r="I5" s="20" t="s">
        <v>42</v>
      </c>
    </row>
    <row r="6" spans="1:9" x14ac:dyDescent="0.25">
      <c r="A6" s="1" t="s">
        <v>34</v>
      </c>
      <c r="B6" s="1">
        <v>96</v>
      </c>
      <c r="C6" s="1">
        <v>90</v>
      </c>
      <c r="D6" s="1">
        <v>55</v>
      </c>
      <c r="E6" s="1">
        <v>60</v>
      </c>
      <c r="G6" s="21"/>
      <c r="H6" s="22"/>
      <c r="I6" s="20"/>
    </row>
    <row r="7" spans="1:9" x14ac:dyDescent="0.25">
      <c r="A7" s="1" t="s">
        <v>35</v>
      </c>
      <c r="B7" s="1">
        <v>96</v>
      </c>
      <c r="C7" s="1">
        <v>61</v>
      </c>
      <c r="D7" s="1">
        <v>94</v>
      </c>
      <c r="E7" s="1">
        <v>97</v>
      </c>
      <c r="G7" s="21" t="s">
        <v>39</v>
      </c>
      <c r="H7" s="23">
        <v>1</v>
      </c>
      <c r="I7" s="20" t="s">
        <v>43</v>
      </c>
    </row>
    <row r="8" spans="1:9" x14ac:dyDescent="0.25">
      <c r="G8" s="21"/>
      <c r="H8" s="24"/>
      <c r="I8" s="20"/>
    </row>
    <row r="9" spans="1:9" x14ac:dyDescent="0.25">
      <c r="A9" t="s">
        <v>45</v>
      </c>
      <c r="G9" s="21" t="s">
        <v>40</v>
      </c>
      <c r="H9" s="23">
        <v>1</v>
      </c>
      <c r="I9" s="20" t="s">
        <v>43</v>
      </c>
    </row>
    <row r="10" spans="1:9" x14ac:dyDescent="0.25">
      <c r="A10" s="4" t="s">
        <v>46</v>
      </c>
      <c r="B10" s="4" t="s">
        <v>47</v>
      </c>
      <c r="G10" s="21"/>
      <c r="H10" s="24"/>
      <c r="I10" s="20"/>
    </row>
    <row r="11" spans="1:9" ht="22.5" customHeight="1" x14ac:dyDescent="0.25">
      <c r="A11" s="4" t="s">
        <v>66</v>
      </c>
      <c r="B11" s="4">
        <f ca="1">SUM(OFFSET(A2,2,1,1,4))</f>
        <v>313</v>
      </c>
      <c r="C11" s="2"/>
      <c r="G11" s="2" t="s">
        <v>44</v>
      </c>
      <c r="H11" s="3">
        <f ca="1">OFFSET($C$4,$H$3,$H$5,$H$7,$H$9)</f>
        <v>85</v>
      </c>
    </row>
  </sheetData>
  <mergeCells count="15">
    <mergeCell ref="I3:I4"/>
    <mergeCell ref="I5:I6"/>
    <mergeCell ref="I7:I8"/>
    <mergeCell ref="I9:I10"/>
    <mergeCell ref="G1:G2"/>
    <mergeCell ref="G3:G4"/>
    <mergeCell ref="G5:G6"/>
    <mergeCell ref="G7:G8"/>
    <mergeCell ref="G9:G10"/>
    <mergeCell ref="H3:H4"/>
    <mergeCell ref="H5:H6"/>
    <mergeCell ref="H7:H8"/>
    <mergeCell ref="H9:H10"/>
    <mergeCell ref="H1:H2"/>
    <mergeCell ref="I1:I2"/>
  </mergeCells>
  <phoneticPr fontId="1" type="noConversion"/>
  <conditionalFormatting sqref="A1:E7">
    <cfRule type="expression" dxfId="0" priority="1" stopIfTrue="1">
      <formula>MATCH(ROW(A1),ROW(OFFSET($C$4,$H$3,$H$5,$H$7,$H$9)),)+MATCH(COLUMN(A1),COLUMN(OFFSET($C$4,$H$3,$H$5,$H$7,$H$9)),)</formula>
    </cfRule>
  </conditionalFormatting>
  <dataValidations count="1">
    <dataValidation type="list" allowBlank="1" showInputMessage="1" showErrorMessage="1" sqref="A11" xr:uid="{00000000-0002-0000-0000-000000000000}">
      <formula1>$A$2:$A$7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"/>
  <sheetViews>
    <sheetView workbookViewId="0">
      <selection activeCell="J13" sqref="J13"/>
    </sheetView>
  </sheetViews>
  <sheetFormatPr defaultRowHeight="13.8" x14ac:dyDescent="0.25"/>
  <sheetData>
    <row r="1" spans="1:17" ht="14.4" x14ac:dyDescent="0.25">
      <c r="A1" s="5" t="s">
        <v>49</v>
      </c>
      <c r="B1" s="6" t="s">
        <v>50</v>
      </c>
      <c r="C1" s="7" t="s">
        <v>51</v>
      </c>
      <c r="D1" s="7" t="s">
        <v>52</v>
      </c>
      <c r="E1" s="6" t="s">
        <v>53</v>
      </c>
      <c r="F1" s="6" t="s">
        <v>54</v>
      </c>
      <c r="G1" s="8" t="s">
        <v>55</v>
      </c>
      <c r="H1" s="6" t="s">
        <v>56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</row>
    <row r="2" spans="1:17" ht="14.4" x14ac:dyDescent="0.25">
      <c r="A2" s="9" t="s">
        <v>57</v>
      </c>
      <c r="B2" s="10">
        <v>1500</v>
      </c>
      <c r="C2" s="10">
        <v>180.8</v>
      </c>
      <c r="D2" s="10">
        <v>66.88</v>
      </c>
      <c r="E2" s="10">
        <v>1428</v>
      </c>
      <c r="F2" s="10">
        <f>B2+E2-C2-D2</f>
        <v>2680.3199999999997</v>
      </c>
      <c r="G2" s="11">
        <v>0</v>
      </c>
      <c r="H2" s="10">
        <f>F2-G2</f>
        <v>2680.3199999999997</v>
      </c>
      <c r="J2" t="s">
        <v>75</v>
      </c>
      <c r="K2">
        <v>1500</v>
      </c>
      <c r="L2">
        <v>180.8</v>
      </c>
      <c r="M2">
        <v>66.88</v>
      </c>
      <c r="N2">
        <v>1428</v>
      </c>
      <c r="O2">
        <v>2680.32</v>
      </c>
      <c r="P2">
        <v>0</v>
      </c>
      <c r="Q2">
        <v>2680.32</v>
      </c>
    </row>
    <row r="3" spans="1:17" ht="14.4" x14ac:dyDescent="0.25">
      <c r="A3" s="9" t="s">
        <v>58</v>
      </c>
      <c r="B3" s="10">
        <v>1200</v>
      </c>
      <c r="C3" s="10">
        <v>155.80000000000001</v>
      </c>
      <c r="D3" s="10">
        <v>66.88</v>
      </c>
      <c r="E3" s="10">
        <v>1354</v>
      </c>
      <c r="F3" s="10">
        <f t="shared" ref="F3:F7" si="0">B3+E3-C3-D3</f>
        <v>2331.3199999999997</v>
      </c>
      <c r="G3" s="11">
        <v>0</v>
      </c>
      <c r="H3" s="10">
        <f t="shared" ref="H3:H7" si="1">F3-G3</f>
        <v>2331.3199999999997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t="s">
        <v>74</v>
      </c>
    </row>
    <row r="4" spans="1:17" ht="14.4" x14ac:dyDescent="0.25">
      <c r="A4" s="9" t="s">
        <v>59</v>
      </c>
      <c r="B4" s="10">
        <v>1200</v>
      </c>
      <c r="C4" s="10">
        <v>155.80000000000001</v>
      </c>
      <c r="D4" s="10">
        <v>66.88</v>
      </c>
      <c r="E4" s="10">
        <v>1433</v>
      </c>
      <c r="F4" s="10">
        <f t="shared" si="0"/>
        <v>2410.3199999999997</v>
      </c>
      <c r="G4" s="11">
        <v>0</v>
      </c>
      <c r="H4" s="10">
        <f t="shared" si="1"/>
        <v>2410.3199999999997</v>
      </c>
      <c r="J4" t="s">
        <v>76</v>
      </c>
      <c r="K4">
        <v>1200</v>
      </c>
      <c r="L4">
        <v>155.80000000000001</v>
      </c>
      <c r="M4">
        <v>66.88</v>
      </c>
      <c r="N4">
        <v>1354</v>
      </c>
      <c r="O4">
        <v>2331.3200000000002</v>
      </c>
      <c r="P4">
        <v>0</v>
      </c>
      <c r="Q4">
        <v>2331.3200000000002</v>
      </c>
    </row>
    <row r="5" spans="1:17" ht="14.4" x14ac:dyDescent="0.25">
      <c r="A5" s="9" t="s">
        <v>60</v>
      </c>
      <c r="B5" s="10">
        <v>1200</v>
      </c>
      <c r="C5" s="10">
        <v>155.80000000000001</v>
      </c>
      <c r="D5" s="10">
        <v>66.88</v>
      </c>
      <c r="E5" s="10">
        <v>1471</v>
      </c>
      <c r="F5" s="10">
        <f t="shared" si="0"/>
        <v>2448.3199999999997</v>
      </c>
      <c r="G5" s="11">
        <v>0</v>
      </c>
      <c r="H5" s="10">
        <f t="shared" si="1"/>
        <v>2448.3199999999997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</row>
    <row r="6" spans="1:17" ht="14.4" x14ac:dyDescent="0.25">
      <c r="A6" s="9" t="s">
        <v>61</v>
      </c>
      <c r="B6" s="10">
        <v>1200</v>
      </c>
      <c r="C6" s="10">
        <v>155.80000000000001</v>
      </c>
      <c r="D6" s="10">
        <v>66.88</v>
      </c>
      <c r="E6" s="10">
        <v>1009</v>
      </c>
      <c r="F6" s="10">
        <f t="shared" si="0"/>
        <v>1986.3199999999997</v>
      </c>
      <c r="G6" s="11">
        <v>0</v>
      </c>
      <c r="H6" s="10">
        <f t="shared" si="1"/>
        <v>1986.3199999999997</v>
      </c>
      <c r="J6" t="s">
        <v>77</v>
      </c>
      <c r="K6">
        <v>1200</v>
      </c>
      <c r="L6">
        <v>155.80000000000001</v>
      </c>
      <c r="M6">
        <v>66.88</v>
      </c>
      <c r="N6">
        <v>1433</v>
      </c>
      <c r="O6">
        <v>2410.3200000000002</v>
      </c>
      <c r="P6">
        <v>0</v>
      </c>
      <c r="Q6">
        <v>2410.3200000000002</v>
      </c>
    </row>
    <row r="7" spans="1:17" ht="14.4" x14ac:dyDescent="0.25">
      <c r="A7" s="9" t="s">
        <v>62</v>
      </c>
      <c r="B7" s="10">
        <v>1200</v>
      </c>
      <c r="C7" s="10">
        <v>155.80000000000001</v>
      </c>
      <c r="D7" s="10">
        <v>66.88</v>
      </c>
      <c r="E7" s="10">
        <v>1253</v>
      </c>
      <c r="F7" s="10">
        <f t="shared" si="0"/>
        <v>2230.3199999999997</v>
      </c>
      <c r="G7" s="11">
        <v>0</v>
      </c>
      <c r="H7" s="10">
        <f t="shared" si="1"/>
        <v>2230.3199999999997</v>
      </c>
      <c r="J7" t="s">
        <v>67</v>
      </c>
      <c r="K7" t="s">
        <v>68</v>
      </c>
      <c r="L7" t="s">
        <v>69</v>
      </c>
      <c r="M7" t="s">
        <v>70</v>
      </c>
      <c r="N7" t="s">
        <v>71</v>
      </c>
      <c r="O7" t="s">
        <v>72</v>
      </c>
      <c r="P7" t="s">
        <v>73</v>
      </c>
      <c r="Q7" t="s">
        <v>74</v>
      </c>
    </row>
    <row r="8" spans="1:17" x14ac:dyDescent="0.25">
      <c r="J8" t="s">
        <v>78</v>
      </c>
      <c r="K8">
        <v>1200</v>
      </c>
      <c r="L8">
        <v>155.80000000000001</v>
      </c>
      <c r="M8">
        <v>66.88</v>
      </c>
      <c r="N8">
        <v>1471</v>
      </c>
      <c r="O8">
        <v>2448.3200000000002</v>
      </c>
      <c r="P8">
        <v>0</v>
      </c>
      <c r="Q8">
        <v>2448.3200000000002</v>
      </c>
    </row>
    <row r="9" spans="1:17" ht="14.4" x14ac:dyDescent="0.25">
      <c r="A9" s="12" t="s">
        <v>63</v>
      </c>
      <c r="F9" s="13"/>
      <c r="J9" t="s">
        <v>67</v>
      </c>
      <c r="K9" t="s">
        <v>68</v>
      </c>
      <c r="L9" t="s">
        <v>69</v>
      </c>
      <c r="M9" t="s">
        <v>70</v>
      </c>
      <c r="N9" t="s">
        <v>71</v>
      </c>
      <c r="O9" t="s">
        <v>72</v>
      </c>
      <c r="P9" t="s">
        <v>73</v>
      </c>
      <c r="Q9" t="s">
        <v>74</v>
      </c>
    </row>
    <row r="10" spans="1:17" ht="14.4" x14ac:dyDescent="0.25">
      <c r="F10" s="13"/>
      <c r="J10" t="s">
        <v>79</v>
      </c>
      <c r="K10">
        <v>1200</v>
      </c>
      <c r="L10">
        <v>155.80000000000001</v>
      </c>
      <c r="M10">
        <v>66.88</v>
      </c>
      <c r="N10">
        <v>1009</v>
      </c>
      <c r="O10">
        <v>1986.32</v>
      </c>
      <c r="P10">
        <v>0</v>
      </c>
      <c r="Q10">
        <v>1986.32</v>
      </c>
    </row>
    <row r="11" spans="1:17" ht="14.4" x14ac:dyDescent="0.25">
      <c r="F11" s="13"/>
      <c r="J11" t="s">
        <v>67</v>
      </c>
      <c r="K11" t="s">
        <v>68</v>
      </c>
      <c r="L11" t="s">
        <v>69</v>
      </c>
      <c r="M11" t="s">
        <v>70</v>
      </c>
      <c r="N11" t="s">
        <v>71</v>
      </c>
      <c r="O11" t="s">
        <v>72</v>
      </c>
      <c r="P11" t="s">
        <v>73</v>
      </c>
      <c r="Q11" t="s">
        <v>74</v>
      </c>
    </row>
    <row r="12" spans="1:17" ht="14.4" x14ac:dyDescent="0.25">
      <c r="F12" s="13"/>
      <c r="J12" t="s">
        <v>80</v>
      </c>
      <c r="K12">
        <v>1200</v>
      </c>
      <c r="L12">
        <v>155.80000000000001</v>
      </c>
      <c r="M12">
        <v>66.88</v>
      </c>
      <c r="N12">
        <v>1253</v>
      </c>
      <c r="O12">
        <v>2230.3200000000002</v>
      </c>
      <c r="P12">
        <v>0</v>
      </c>
      <c r="Q12">
        <v>2230.3200000000002</v>
      </c>
    </row>
    <row r="13" spans="1:17" ht="14.4" x14ac:dyDescent="0.25">
      <c r="F13" s="13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E3" sqref="E3"/>
    </sheetView>
  </sheetViews>
  <sheetFormatPr defaultRowHeight="13.8" x14ac:dyDescent="0.25"/>
  <cols>
    <col min="1" max="5" width="8.88671875" style="16"/>
  </cols>
  <sheetData>
    <row r="1" spans="1:5" x14ac:dyDescent="0.25">
      <c r="A1" s="15" t="s">
        <v>0</v>
      </c>
      <c r="B1" s="15" t="s">
        <v>1</v>
      </c>
      <c r="D1" s="17" t="s">
        <v>2</v>
      </c>
      <c r="E1" s="17" t="s">
        <v>3</v>
      </c>
    </row>
    <row r="2" spans="1:5" x14ac:dyDescent="0.25">
      <c r="A2" s="18">
        <v>1</v>
      </c>
      <c r="B2" s="18">
        <v>5070</v>
      </c>
      <c r="C2" s="19">
        <v>1</v>
      </c>
      <c r="D2" s="18" t="s">
        <v>4</v>
      </c>
      <c r="E2" s="18">
        <f ca="1">SUM(OFFSET(A$1,C2,1,3,1))</f>
        <v>13000</v>
      </c>
    </row>
    <row r="3" spans="1:5" x14ac:dyDescent="0.25">
      <c r="A3" s="18">
        <v>2</v>
      </c>
      <c r="B3" s="18">
        <v>4367</v>
      </c>
      <c r="C3" s="19">
        <v>4</v>
      </c>
      <c r="D3" s="18" t="s">
        <v>5</v>
      </c>
      <c r="E3" s="18">
        <f t="shared" ref="E3:E5" ca="1" si="0">SUM(OFFSET(A$1,C3,1,3,1))</f>
        <v>14527</v>
      </c>
    </row>
    <row r="4" spans="1:5" x14ac:dyDescent="0.25">
      <c r="A4" s="18">
        <v>3</v>
      </c>
      <c r="B4" s="18">
        <v>3563</v>
      </c>
      <c r="C4" s="19">
        <v>7</v>
      </c>
      <c r="D4" s="18" t="s">
        <v>6</v>
      </c>
      <c r="E4" s="18">
        <f t="shared" ca="1" si="0"/>
        <v>13821</v>
      </c>
    </row>
    <row r="5" spans="1:5" x14ac:dyDescent="0.25">
      <c r="A5" s="18">
        <v>4</v>
      </c>
      <c r="B5" s="18">
        <v>4019</v>
      </c>
      <c r="C5" s="19">
        <v>10</v>
      </c>
      <c r="D5" s="18" t="s">
        <v>7</v>
      </c>
      <c r="E5" s="18">
        <f t="shared" ca="1" si="0"/>
        <v>15197</v>
      </c>
    </row>
    <row r="6" spans="1:5" x14ac:dyDescent="0.25">
      <c r="A6" s="18">
        <v>5</v>
      </c>
      <c r="B6" s="18">
        <v>4579</v>
      </c>
    </row>
    <row r="7" spans="1:5" x14ac:dyDescent="0.25">
      <c r="A7" s="18">
        <v>6</v>
      </c>
      <c r="B7" s="18">
        <v>5929</v>
      </c>
    </row>
    <row r="8" spans="1:5" x14ac:dyDescent="0.25">
      <c r="A8" s="18">
        <v>7</v>
      </c>
      <c r="B8" s="18">
        <v>5353</v>
      </c>
    </row>
    <row r="9" spans="1:5" x14ac:dyDescent="0.25">
      <c r="A9" s="18">
        <v>8</v>
      </c>
      <c r="B9" s="18">
        <v>3974</v>
      </c>
      <c r="D9" s="16" t="s">
        <v>24</v>
      </c>
    </row>
    <row r="10" spans="1:5" x14ac:dyDescent="0.25">
      <c r="A10" s="18">
        <v>9</v>
      </c>
      <c r="B10" s="18">
        <v>4494</v>
      </c>
    </row>
    <row r="11" spans="1:5" x14ac:dyDescent="0.25">
      <c r="A11" s="18">
        <v>10</v>
      </c>
      <c r="B11" s="18">
        <v>4601</v>
      </c>
    </row>
    <row r="12" spans="1:5" x14ac:dyDescent="0.25">
      <c r="A12" s="18">
        <v>11</v>
      </c>
      <c r="B12" s="18">
        <v>5840</v>
      </c>
    </row>
    <row r="13" spans="1:5" x14ac:dyDescent="0.25">
      <c r="A13" s="18">
        <v>12</v>
      </c>
      <c r="B13" s="18">
        <v>4756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tabSelected="1" workbookViewId="0">
      <selection activeCell="I12" sqref="I12"/>
    </sheetView>
  </sheetViews>
  <sheetFormatPr defaultRowHeight="13.8" x14ac:dyDescent="0.25"/>
  <cols>
    <col min="1" max="13" width="6.6640625" style="16" customWidth="1"/>
    <col min="14" max="16384" width="8.88671875" style="16"/>
  </cols>
  <sheetData>
    <row r="1" spans="1:13" x14ac:dyDescent="0.25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16</v>
      </c>
      <c r="J1" s="15" t="s">
        <v>17</v>
      </c>
      <c r="K1" s="15" t="s">
        <v>18</v>
      </c>
      <c r="L1" s="15" t="s">
        <v>19</v>
      </c>
      <c r="M1" s="15" t="s">
        <v>20</v>
      </c>
    </row>
    <row r="2" spans="1:13" x14ac:dyDescent="0.25">
      <c r="A2" s="15" t="s">
        <v>21</v>
      </c>
      <c r="B2" s="18">
        <v>1200</v>
      </c>
      <c r="C2" s="18">
        <v>1293</v>
      </c>
      <c r="D2" s="18">
        <v>1699</v>
      </c>
      <c r="E2" s="18">
        <v>1303</v>
      </c>
      <c r="F2" s="18">
        <v>1400</v>
      </c>
      <c r="G2" s="18">
        <v>2254</v>
      </c>
      <c r="H2" s="18">
        <v>2634</v>
      </c>
      <c r="I2" s="18">
        <v>1548</v>
      </c>
      <c r="J2" s="18">
        <v>2019</v>
      </c>
      <c r="K2" s="18">
        <v>2843</v>
      </c>
      <c r="L2" s="18">
        <v>2036</v>
      </c>
      <c r="M2" s="18">
        <v>2337</v>
      </c>
    </row>
    <row r="3" spans="1:13" x14ac:dyDescent="0.25">
      <c r="A3" s="15" t="s">
        <v>22</v>
      </c>
      <c r="B3" s="18">
        <v>1169</v>
      </c>
      <c r="C3" s="18">
        <v>1343</v>
      </c>
      <c r="D3" s="18">
        <v>1180</v>
      </c>
      <c r="E3" s="18">
        <v>1469</v>
      </c>
      <c r="F3" s="18">
        <v>2577</v>
      </c>
      <c r="G3" s="18">
        <v>1204</v>
      </c>
      <c r="H3" s="18">
        <v>1843</v>
      </c>
      <c r="I3" s="18">
        <v>1239</v>
      </c>
      <c r="J3" s="18">
        <v>2485</v>
      </c>
      <c r="K3" s="18">
        <v>2323</v>
      </c>
      <c r="L3" s="18">
        <v>2461</v>
      </c>
      <c r="M3" s="18">
        <v>1967</v>
      </c>
    </row>
    <row r="4" spans="1:13" x14ac:dyDescent="0.25">
      <c r="A4" s="15" t="s">
        <v>23</v>
      </c>
      <c r="B4" s="18">
        <v>1059</v>
      </c>
      <c r="C4" s="18">
        <v>2824</v>
      </c>
      <c r="D4" s="18">
        <v>2783</v>
      </c>
      <c r="E4" s="18">
        <v>2029</v>
      </c>
      <c r="F4" s="18">
        <v>2298</v>
      </c>
      <c r="G4" s="18">
        <v>1342</v>
      </c>
      <c r="H4" s="18">
        <v>1028</v>
      </c>
      <c r="I4" s="18">
        <v>2388</v>
      </c>
      <c r="J4" s="18">
        <v>2433</v>
      </c>
      <c r="K4" s="18">
        <v>1804</v>
      </c>
      <c r="L4" s="18">
        <v>1545</v>
      </c>
      <c r="M4" s="18">
        <v>1627</v>
      </c>
    </row>
    <row r="7" spans="1:13" x14ac:dyDescent="0.25">
      <c r="A7" s="17" t="s">
        <v>8</v>
      </c>
      <c r="B7" s="17" t="s">
        <v>4</v>
      </c>
      <c r="C7" s="17" t="s">
        <v>5</v>
      </c>
      <c r="D7" s="17" t="s">
        <v>6</v>
      </c>
      <c r="E7" s="17" t="s">
        <v>7</v>
      </c>
      <c r="F7" s="25"/>
      <c r="G7" s="25">
        <v>1</v>
      </c>
      <c r="H7" s="25">
        <v>4</v>
      </c>
      <c r="I7" s="25">
        <v>7</v>
      </c>
      <c r="J7" s="25">
        <v>10</v>
      </c>
      <c r="K7" s="25"/>
      <c r="L7" s="25"/>
      <c r="M7" s="25"/>
    </row>
    <row r="8" spans="1:13" x14ac:dyDescent="0.25">
      <c r="A8" s="17" t="s">
        <v>21</v>
      </c>
      <c r="B8" s="18">
        <f ca="1">SUM(OFFSET($A$1,$F8,G$7,1,3))</f>
        <v>4192</v>
      </c>
      <c r="C8" s="18">
        <f ca="1">SUM(OFFSET($A$1,$F8,H$7,1,3))</f>
        <v>4957</v>
      </c>
      <c r="D8" s="18">
        <f t="shared" ref="C8:E8" ca="1" si="0">SUM(OFFSET($A$1,$F8,I$7,1,3))</f>
        <v>6201</v>
      </c>
      <c r="E8" s="18">
        <f t="shared" ca="1" si="0"/>
        <v>7216</v>
      </c>
      <c r="F8" s="25">
        <v>1</v>
      </c>
      <c r="G8" s="25"/>
      <c r="H8" s="25"/>
      <c r="I8" s="25"/>
      <c r="J8" s="25"/>
      <c r="K8" s="25"/>
      <c r="L8" s="25"/>
      <c r="M8" s="25"/>
    </row>
    <row r="9" spans="1:13" x14ac:dyDescent="0.25">
      <c r="A9" s="17" t="s">
        <v>22</v>
      </c>
      <c r="B9" s="18">
        <f t="shared" ref="B9:B10" ca="1" si="1">SUM(OFFSET($A$1,$F9,G$7,1,3))</f>
        <v>3692</v>
      </c>
      <c r="C9" s="18">
        <f t="shared" ref="C9:C10" ca="1" si="2">SUM(OFFSET($A$1,$F9,H$7,1,3))</f>
        <v>5250</v>
      </c>
      <c r="D9" s="18">
        <f t="shared" ref="D9:D10" ca="1" si="3">SUM(OFFSET($A$1,$F9,I$7,1,3))</f>
        <v>5567</v>
      </c>
      <c r="E9" s="18">
        <f t="shared" ref="E9:E10" ca="1" si="4">SUM(OFFSET($A$1,$F9,J$7,1,3))</f>
        <v>6751</v>
      </c>
      <c r="F9" s="25">
        <v>2</v>
      </c>
      <c r="G9" s="25"/>
      <c r="H9" s="25"/>
      <c r="I9" s="25"/>
      <c r="J9" s="25"/>
      <c r="K9" s="25"/>
      <c r="L9" s="25"/>
      <c r="M9" s="25"/>
    </row>
    <row r="10" spans="1:13" x14ac:dyDescent="0.25">
      <c r="A10" s="17" t="s">
        <v>23</v>
      </c>
      <c r="B10" s="18">
        <f t="shared" ca="1" si="1"/>
        <v>6666</v>
      </c>
      <c r="C10" s="18">
        <f t="shared" ca="1" si="2"/>
        <v>5669</v>
      </c>
      <c r="D10" s="18">
        <f t="shared" ca="1" si="3"/>
        <v>5849</v>
      </c>
      <c r="E10" s="18">
        <f t="shared" ca="1" si="4"/>
        <v>4976</v>
      </c>
      <c r="F10" s="25">
        <v>3</v>
      </c>
      <c r="G10" s="25"/>
      <c r="H10" s="25"/>
      <c r="I10" s="25"/>
      <c r="J10" s="25"/>
      <c r="K10" s="25"/>
      <c r="L10" s="25"/>
      <c r="M10" s="25"/>
    </row>
    <row r="12" spans="1:13" x14ac:dyDescent="0.25">
      <c r="A12" s="16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练习题1</vt:lpstr>
      <vt:lpstr>练习题2</vt:lpstr>
      <vt:lpstr>练习题3</vt:lpstr>
      <vt:lpstr>练习题4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2024-10-25T14:08:52Z</dcterms:modified>
</cp:coreProperties>
</file>