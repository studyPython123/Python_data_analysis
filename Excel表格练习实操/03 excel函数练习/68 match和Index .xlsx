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3 excel函数练习\"/>
    </mc:Choice>
  </mc:AlternateContent>
  <xr:revisionPtr revIDLastSave="0" documentId="13_ncr:1_{C882FC17-8606-46D9-A645-35317C82BA99}" xr6:coauthVersionLast="47" xr6:coauthVersionMax="47" xr10:uidLastSave="{00000000-0000-0000-0000-000000000000}"/>
  <bookViews>
    <workbookView xWindow="-108" yWindow="-108" windowWidth="23256" windowHeight="12456" activeTab="1" xr2:uid="{9AC2426B-9717-434B-80A6-9024102A636B}"/>
  </bookViews>
  <sheets>
    <sheet name="客户资料" sheetId="2" r:id="rId1"/>
    <sheet name="成绩表" sheetId="3" r:id="rId2"/>
    <sheet name="滞留物资报表" sheetId="1" r:id="rId3"/>
  </sheets>
  <definedNames>
    <definedName name="客户属性">客户资料!$A$1:$K$1</definedName>
    <definedName name="属性">成绩表!$B$1:$G$1</definedName>
    <definedName name="姓名">成绩表!$D$2:$D$10</definedName>
    <definedName name="学科">成绩表!$B$1:$G$1</definedName>
    <definedName name="用户ID">客户资料!$A$2:$A$25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N9" i="2"/>
  <c r="N8" i="2"/>
  <c r="B17" i="1"/>
  <c r="N10" i="2" l="1"/>
  <c r="N3" i="2"/>
  <c r="N2" i="2"/>
  <c r="N5" i="2" s="1"/>
</calcChain>
</file>

<file path=xl/sharedStrings.xml><?xml version="1.0" encoding="utf-8"?>
<sst xmlns="http://schemas.openxmlformats.org/spreadsheetml/2006/main" count="323" uniqueCount="243">
  <si>
    <t>入库时间</t>
    <phoneticPr fontId="1" type="noConversion"/>
  </si>
  <si>
    <t>物质</t>
    <phoneticPr fontId="1" type="noConversion"/>
  </si>
  <si>
    <t>数量</t>
    <phoneticPr fontId="1" type="noConversion"/>
  </si>
  <si>
    <t>剩余数量</t>
    <phoneticPr fontId="1" type="noConversion"/>
  </si>
  <si>
    <t>单价</t>
    <phoneticPr fontId="1" type="noConversion"/>
  </si>
  <si>
    <t>备注</t>
    <phoneticPr fontId="1" type="noConversion"/>
  </si>
  <si>
    <t>2000.1.20</t>
    <phoneticPr fontId="1" type="noConversion"/>
  </si>
  <si>
    <t>T50型灯管</t>
    <phoneticPr fontId="1" type="noConversion"/>
  </si>
  <si>
    <t>2003.1.27</t>
    <phoneticPr fontId="1" type="noConversion"/>
  </si>
  <si>
    <t>H31型线路板</t>
    <phoneticPr fontId="1" type="noConversion"/>
  </si>
  <si>
    <t>水泵T-5</t>
    <phoneticPr fontId="1" type="noConversion"/>
  </si>
  <si>
    <t>88型电钻</t>
    <phoneticPr fontId="1" type="noConversion"/>
  </si>
  <si>
    <t>H35型线路板</t>
    <phoneticPr fontId="1" type="noConversion"/>
  </si>
  <si>
    <t>89型电钻</t>
    <phoneticPr fontId="1" type="noConversion"/>
  </si>
  <si>
    <t>T52型灯管</t>
    <phoneticPr fontId="1" type="noConversion"/>
  </si>
  <si>
    <t>水泵T-1</t>
    <phoneticPr fontId="1" type="noConversion"/>
  </si>
  <si>
    <t>续电器RT</t>
    <phoneticPr fontId="1" type="noConversion"/>
  </si>
  <si>
    <t>白炽灯</t>
    <phoneticPr fontId="1" type="noConversion"/>
  </si>
  <si>
    <t>不合格</t>
    <phoneticPr fontId="1" type="noConversion"/>
  </si>
  <si>
    <t>2005.1.28</t>
    <phoneticPr fontId="1" type="noConversion"/>
  </si>
  <si>
    <t>2008.3.21</t>
    <phoneticPr fontId="1" type="noConversion"/>
  </si>
  <si>
    <t>2006.2.5</t>
    <phoneticPr fontId="1" type="noConversion"/>
  </si>
  <si>
    <t>2005.2.6</t>
    <phoneticPr fontId="1" type="noConversion"/>
  </si>
  <si>
    <t>2015.4.28</t>
    <phoneticPr fontId="1" type="noConversion"/>
  </si>
  <si>
    <t>2017.2.28</t>
    <phoneticPr fontId="1" type="noConversion"/>
  </si>
  <si>
    <t>2016.5.28</t>
    <phoneticPr fontId="1" type="noConversion"/>
  </si>
  <si>
    <t>某化工厂第三仓库2000年-2018年间滞留物资报表</t>
    <phoneticPr fontId="1" type="noConversion"/>
  </si>
  <si>
    <t>客户ID</t>
    <phoneticPr fontId="1" type="noConversion"/>
  </si>
  <si>
    <t>公司名称</t>
    <phoneticPr fontId="1" type="noConversion"/>
  </si>
  <si>
    <t>联系人姓名</t>
    <phoneticPr fontId="1" type="noConversion"/>
  </si>
  <si>
    <t>AABBCCD</t>
  </si>
  <si>
    <t>刘小姐</t>
  </si>
  <si>
    <t>消售代表</t>
  </si>
  <si>
    <t>大崇明路50号</t>
  </si>
  <si>
    <t>ANATR</t>
  </si>
  <si>
    <t>王失生</t>
  </si>
  <si>
    <t>物主</t>
  </si>
  <si>
    <t>承德西路80号</t>
  </si>
  <si>
    <t>王炫皓</t>
  </si>
  <si>
    <t>黄台北路780号</t>
  </si>
  <si>
    <t>AROUT</t>
  </si>
  <si>
    <t>国顶有眼公司</t>
  </si>
  <si>
    <t>方失生</t>
  </si>
  <si>
    <t>天府东街30号</t>
  </si>
  <si>
    <t>BERGS</t>
  </si>
  <si>
    <t>通恒机械</t>
  </si>
  <si>
    <t>黄小姐</t>
  </si>
  <si>
    <t>采购员</t>
  </si>
  <si>
    <t>东园西甲30号</t>
  </si>
  <si>
    <t>BLAUS</t>
  </si>
  <si>
    <t>森通_</t>
  </si>
  <si>
    <t>常保阁东80号</t>
  </si>
  <si>
    <t>BLONP</t>
  </si>
  <si>
    <t>国皓</t>
  </si>
  <si>
    <t>黄雅玲</t>
  </si>
  <si>
    <t>市场经埋</t>
  </si>
  <si>
    <t>广发北路10号</t>
  </si>
  <si>
    <t>BOLID</t>
  </si>
  <si>
    <t>S多贸易</t>
  </si>
  <si>
    <t>陈失生</t>
  </si>
  <si>
    <t>临翠大街80号</t>
  </si>
  <si>
    <t>BONAP</t>
  </si>
  <si>
    <t>祥通</t>
  </si>
  <si>
    <t>刘失生</t>
  </si>
  <si>
    <t>花园东街90号</t>
  </si>
  <si>
    <t>BOTTM</t>
  </si>
  <si>
    <t>广適</t>
  </si>
  <si>
    <t>结茸经埋</t>
  </si>
  <si>
    <t>平谷嘉石大街38号</t>
  </si>
  <si>
    <t>BSBEV</t>
  </si>
  <si>
    <t>光明杂志</t>
  </si>
  <si>
    <t>谢丽秋</t>
  </si>
  <si>
    <t>黄石路50号</t>
  </si>
  <si>
    <t>CACTU</t>
  </si>
  <si>
    <t>威航货运有眼公司</t>
  </si>
  <si>
    <t>消售代理</t>
  </si>
  <si>
    <t>经七纬二路13号</t>
  </si>
  <si>
    <t>CENTC</t>
  </si>
  <si>
    <t>三捷实ii</t>
  </si>
  <si>
    <t>市场经理</t>
  </si>
  <si>
    <t>英雄山路84号</t>
  </si>
  <si>
    <t>洁天旅行社</t>
  </si>
  <si>
    <t>白广路314号</t>
  </si>
  <si>
    <t>COMI</t>
  </si>
  <si>
    <t>同恒</t>
  </si>
  <si>
    <t>消售员</t>
  </si>
  <si>
    <t>七一路37号</t>
  </si>
  <si>
    <t>CONSH</t>
  </si>
  <si>
    <t>万海</t>
  </si>
  <si>
    <t>林小姐</t>
  </si>
  <si>
    <t>劳动路23号</t>
  </si>
  <si>
    <t>DRACD</t>
  </si>
  <si>
    <t>世邦</t>
  </si>
  <si>
    <t>黎失生</t>
  </si>
  <si>
    <t>采购贝</t>
  </si>
  <si>
    <t>光明东路395号</t>
  </si>
  <si>
    <t>DUMON</t>
  </si>
  <si>
    <t>王俊元</t>
  </si>
  <si>
    <t>沉香街329号</t>
  </si>
  <si>
    <t>EASTC</t>
  </si>
  <si>
    <t>中通</t>
  </si>
  <si>
    <t>光1北路895号</t>
  </si>
  <si>
    <t>ERNSH</t>
  </si>
  <si>
    <t>正人资源</t>
  </si>
  <si>
    <t>谢小姐</t>
  </si>
  <si>
    <t>消售经理</t>
  </si>
  <si>
    <t>临江东街62号</t>
  </si>
  <si>
    <t>FAMIA</t>
  </si>
  <si>
    <t>市场助理</t>
  </si>
  <si>
    <t>外谦西路238号</t>
  </si>
  <si>
    <t>FISSA</t>
  </si>
  <si>
    <t>蓋元实让</t>
  </si>
  <si>
    <t>结算经埋</t>
  </si>
  <si>
    <t>东瑚大街28号</t>
  </si>
  <si>
    <t>FOLIG</t>
  </si>
  <si>
    <t>助理消售代I经三纬二路8号</t>
  </si>
  <si>
    <t>FOLKO</t>
  </si>
  <si>
    <t>苏失生</t>
  </si>
  <si>
    <t>沿江北路942号</t>
  </si>
  <si>
    <t>策船舶</t>
    <phoneticPr fontId="1" type="noConversion"/>
  </si>
  <si>
    <t>五洲信</t>
    <phoneticPr fontId="1" type="noConversion"/>
  </si>
  <si>
    <t>嘉ik</t>
    <phoneticPr fontId="1" type="noConversion"/>
  </si>
  <si>
    <t>红阳事</t>
    <phoneticPr fontId="1" type="noConversion"/>
  </si>
  <si>
    <t>联系人头衔</t>
    <phoneticPr fontId="1" type="noConversion"/>
  </si>
  <si>
    <t>地址</t>
    <phoneticPr fontId="1" type="noConversion"/>
  </si>
  <si>
    <t>城市</t>
    <phoneticPr fontId="1" type="noConversion"/>
  </si>
  <si>
    <t>地区</t>
    <phoneticPr fontId="1" type="noConversion"/>
  </si>
  <si>
    <t>邮政编码</t>
    <phoneticPr fontId="1" type="noConversion"/>
  </si>
  <si>
    <t>国家</t>
    <phoneticPr fontId="1" type="noConversion"/>
  </si>
  <si>
    <t>电话</t>
  </si>
  <si>
    <t>电话</t>
    <phoneticPr fontId="1" type="noConversion"/>
  </si>
  <si>
    <t>传真</t>
    <phoneticPr fontId="1" type="noConversion"/>
  </si>
  <si>
    <r>
      <rPr>
        <sz val="11"/>
        <rFont val="黑体"/>
        <family val="3"/>
        <charset val="134"/>
      </rPr>
      <t>天津</t>
    </r>
  </si>
  <si>
    <r>
      <rPr>
        <sz val="11"/>
        <rFont val="黑体"/>
        <family val="3"/>
        <charset val="134"/>
      </rPr>
      <t>华北</t>
    </r>
  </si>
  <si>
    <r>
      <rPr>
        <sz val="11"/>
        <rFont val="黑体"/>
        <family val="3"/>
        <charset val="134"/>
      </rPr>
      <t>343567</t>
    </r>
  </si>
  <si>
    <r>
      <rPr>
        <sz val="11"/>
        <rFont val="黑体"/>
        <family val="3"/>
        <charset val="134"/>
      </rPr>
      <t>中国</t>
    </r>
  </si>
  <si>
    <r>
      <rPr>
        <sz val="11"/>
        <rFont val="黑体"/>
        <family val="3"/>
        <charset val="134"/>
      </rPr>
      <t>天漳</t>
    </r>
  </si>
  <si>
    <r>
      <rPr>
        <sz val="11"/>
        <rFont val="黑体"/>
        <family val="3"/>
        <charset val="134"/>
      </rPr>
      <t>234575</t>
    </r>
  </si>
  <si>
    <r>
      <rPr>
        <sz val="11"/>
        <rFont val="黑体"/>
        <family val="3"/>
        <charset val="134"/>
      </rPr>
      <t>石家庄</t>
    </r>
  </si>
  <si>
    <r>
      <rPr>
        <sz val="11"/>
        <rFont val="黑体"/>
        <family val="3"/>
        <charset val="134"/>
      </rPr>
      <t>985060</t>
    </r>
  </si>
  <si>
    <r>
      <rPr>
        <sz val="11"/>
        <rFont val="黑体"/>
        <family val="3"/>
        <charset val="134"/>
      </rPr>
      <t>麵</t>
    </r>
  </si>
  <si>
    <r>
      <rPr>
        <sz val="11"/>
        <rFont val="黑体"/>
        <family val="3"/>
        <charset val="134"/>
      </rPr>
      <t>华南</t>
    </r>
  </si>
  <si>
    <r>
      <rPr>
        <sz val="11"/>
        <rFont val="黑体"/>
        <family val="3"/>
        <charset val="134"/>
      </rPr>
      <t>890879</t>
    </r>
  </si>
  <si>
    <r>
      <rPr>
        <sz val="11"/>
        <rFont val="黑体"/>
        <family val="3"/>
        <charset val="134"/>
      </rPr>
      <t>南京</t>
    </r>
  </si>
  <si>
    <r>
      <rPr>
        <sz val="11"/>
        <rFont val="黑体"/>
        <family val="3"/>
        <charset val="134"/>
      </rPr>
      <t>华东</t>
    </r>
  </si>
  <si>
    <r>
      <rPr>
        <sz val="11"/>
        <rFont val="黑体"/>
        <family val="3"/>
        <charset val="134"/>
      </rPr>
      <t>798089</t>
    </r>
  </si>
  <si>
    <r>
      <rPr>
        <vertAlign val="superscript"/>
        <sz val="11"/>
        <rFont val="黑体"/>
        <family val="3"/>
        <charset val="134"/>
      </rPr>
      <t>r</t>
    </r>
    <r>
      <rPr>
        <sz val="11"/>
        <rFont val="黑体"/>
        <family val="3"/>
        <charset val="134"/>
      </rPr>
      <t>787045</t>
    </r>
  </si>
  <si>
    <r>
      <rPr>
        <sz val="11"/>
        <rFont val="黑体"/>
        <family val="3"/>
        <charset val="134"/>
      </rPr>
      <t>大连</t>
    </r>
  </si>
  <si>
    <r>
      <rPr>
        <sz val="11"/>
        <rFont val="黑体"/>
        <family val="3"/>
        <charset val="134"/>
      </rPr>
      <t>东北</t>
    </r>
  </si>
  <si>
    <r>
      <rPr>
        <sz val="11"/>
        <rFont val="黑体"/>
        <family val="3"/>
        <charset val="134"/>
      </rPr>
      <t>565479</t>
    </r>
  </si>
  <si>
    <r>
      <rPr>
        <sz val="11"/>
        <rFont val="黑体"/>
        <family val="3"/>
        <charset val="134"/>
      </rPr>
      <t>西安</t>
    </r>
  </si>
  <si>
    <r>
      <rPr>
        <sz val="11"/>
        <rFont val="黑体"/>
        <family val="3"/>
        <charset val="134"/>
      </rPr>
      <t>西北</t>
    </r>
  </si>
  <si>
    <r>
      <rPr>
        <sz val="11"/>
        <rFont val="黑体"/>
        <family val="3"/>
        <charset val="134"/>
      </rPr>
      <t>907987</t>
    </r>
  </si>
  <si>
    <r>
      <rPr>
        <sz val="11"/>
        <rFont val="黑体"/>
        <family val="3"/>
        <charset val="134"/>
      </rPr>
      <t>重庆</t>
    </r>
  </si>
  <si>
    <r>
      <rPr>
        <sz val="11"/>
        <rFont val="黑体"/>
        <family val="3"/>
        <charset val="134"/>
      </rPr>
      <t>西南</t>
    </r>
  </si>
  <si>
    <r>
      <rPr>
        <sz val="11"/>
        <rFont val="黑体"/>
        <family val="3"/>
        <charset val="134"/>
      </rPr>
      <t>808059</t>
    </r>
  </si>
  <si>
    <r>
      <rPr>
        <sz val="11"/>
        <rFont val="黑体"/>
        <family val="3"/>
        <charset val="134"/>
      </rPr>
      <t>深训</t>
    </r>
  </si>
  <si>
    <r>
      <rPr>
        <sz val="11"/>
        <rFont val="黑体"/>
        <family val="3"/>
        <charset val="134"/>
      </rPr>
      <t>760908</t>
    </r>
  </si>
  <si>
    <r>
      <rPr>
        <sz val="11"/>
        <rFont val="黑体"/>
        <family val="3"/>
        <charset val="134"/>
      </rPr>
      <t>234254</t>
    </r>
  </si>
  <si>
    <r>
      <rPr>
        <sz val="11"/>
        <rFont val="黑体"/>
        <family val="3"/>
        <charset val="134"/>
      </rPr>
      <t>453466</t>
    </r>
  </si>
  <si>
    <r>
      <rPr>
        <sz val="11"/>
        <rFont val="黑体"/>
        <family val="3"/>
        <charset val="134"/>
      </rPr>
      <t>厦门</t>
    </r>
  </si>
  <si>
    <r>
      <rPr>
        <sz val="11"/>
        <rFont val="黑体"/>
        <family val="3"/>
        <charset val="134"/>
      </rPr>
      <t>353467</t>
    </r>
  </si>
  <si>
    <r>
      <rPr>
        <sz val="11"/>
        <rFont val="黑体"/>
        <family val="3"/>
        <charset val="134"/>
      </rPr>
      <t>海口</t>
    </r>
  </si>
  <si>
    <r>
      <rPr>
        <sz val="11"/>
        <rFont val="黑体"/>
        <family val="3"/>
        <charset val="134"/>
      </rPr>
      <t>454748</t>
    </r>
  </si>
  <si>
    <r>
      <rPr>
        <sz val="11"/>
        <rFont val="黑体"/>
        <family val="3"/>
        <charset val="134"/>
      </rPr>
      <t>常州</t>
    </r>
  </si>
  <si>
    <r>
      <rPr>
        <sz val="11"/>
        <rFont val="黑体"/>
        <family val="3"/>
        <charset val="134"/>
      </rPr>
      <t>565474</t>
    </r>
  </si>
  <si>
    <r>
      <rPr>
        <sz val="11"/>
        <rFont val="黑体"/>
        <family val="3"/>
        <charset val="134"/>
      </rPr>
      <t>809784</t>
    </r>
  </si>
  <si>
    <r>
      <rPr>
        <sz val="11"/>
        <rFont val="黑体"/>
        <family val="3"/>
        <charset val="134"/>
      </rPr>
      <t>翻</t>
    </r>
  </si>
  <si>
    <r>
      <rPr>
        <sz val="11"/>
        <rFont val="黑体"/>
        <family val="3"/>
        <charset val="134"/>
      </rPr>
      <t>906853</t>
    </r>
  </si>
  <si>
    <r>
      <rPr>
        <sz val="11"/>
        <rFont val="黑体"/>
        <family val="3"/>
        <charset val="134"/>
      </rPr>
      <t>687759</t>
    </r>
  </si>
  <si>
    <r>
      <rPr>
        <sz val="11"/>
        <rFont val="黑体"/>
        <family val="3"/>
        <charset val="134"/>
      </rPr>
      <t>458965</t>
    </r>
  </si>
  <si>
    <r>
      <rPr>
        <sz val="11"/>
        <rFont val="黑体"/>
        <family val="3"/>
        <charset val="134"/>
      </rPr>
      <t>576906</t>
    </r>
  </si>
  <si>
    <r>
      <rPr>
        <sz val="11"/>
        <rFont val="黑体"/>
        <family val="3"/>
        <charset val="134"/>
      </rPr>
      <t>876060</t>
    </r>
  </si>
  <si>
    <t>(030)30074321</t>
  </si>
  <si>
    <t>(030)30765452</t>
  </si>
  <si>
    <t>(030)35554729</t>
  </si>
  <si>
    <t>(030)35553744</t>
  </si>
  <si>
    <t>(0321)5553932</t>
  </si>
  <si>
    <t>(0571)45557788</t>
  </si>
  <si>
    <t>(0571)45556750</t>
  </si>
  <si>
    <t>(0921)9123465</t>
  </si>
  <si>
    <t>(0921)55123467</t>
  </si>
  <si>
    <t>(030)30058460</t>
  </si>
  <si>
    <t>(030)33008924</t>
  </si>
  <si>
    <t>(0671)88601531</t>
  </si>
  <si>
    <t>(0671)88601532</t>
  </si>
  <si>
    <t>(091)85552282</t>
  </si>
  <si>
    <t>(091)85559199</t>
  </si>
  <si>
    <t>(078)91244540</t>
  </si>
  <si>
    <t>(078)91244541</t>
  </si>
  <si>
    <t>(078)95554729</t>
  </si>
  <si>
    <t>(078)95553745</t>
  </si>
  <si>
    <t>(0571)45551212</t>
  </si>
  <si>
    <t>(061)11355555</t>
  </si>
  <si>
    <t>(061)11354892</t>
  </si>
  <si>
    <t>(061)15553392</t>
  </si>
  <si>
    <t>(061)15557293</t>
  </si>
  <si>
    <t>(030)30076545</t>
  </si>
  <si>
    <t>(030)35557647</t>
  </si>
  <si>
    <t>(071)45552282</t>
  </si>
  <si>
    <t>(071)45559199</t>
  </si>
  <si>
    <t>(0241)10391231</t>
  </si>
  <si>
    <t>(0241)10594282</t>
  </si>
  <si>
    <t>(056)40678888</t>
  </si>
  <si>
    <t>(056)40678989</t>
  </si>
  <si>
    <t>(030)35550297</t>
  </si>
  <si>
    <t>(030)35553373</t>
  </si>
  <si>
    <t>(0571)76753425</t>
  </si>
  <si>
    <t>(0571)76753426</t>
  </si>
  <si>
    <t>(0571)75559857</t>
  </si>
  <si>
    <t>(091)25559444</t>
  </si>
  <si>
    <t>(091)25555593</t>
  </si>
  <si>
    <t>(0321)20161016</t>
  </si>
  <si>
    <t>(0321)20161017</t>
  </si>
  <si>
    <t>(087)69534671</t>
  </si>
  <si>
    <t>三川实li有眼公司</t>
    <phoneticPr fontId="1" type="noConversion"/>
  </si>
  <si>
    <t>中国平安</t>
    <phoneticPr fontId="1" type="noConversion"/>
  </si>
  <si>
    <t>SPICK</t>
  </si>
  <si>
    <t>SPICK</t>
    <phoneticPr fontId="1" type="noConversion"/>
  </si>
  <si>
    <t>中国人寿</t>
    <phoneticPr fontId="1" type="noConversion"/>
  </si>
  <si>
    <t>消售代表</t>
    <phoneticPr fontId="1" type="noConversion"/>
  </si>
  <si>
    <t>王先生</t>
    <phoneticPr fontId="1" type="noConversion"/>
  </si>
  <si>
    <t>序号</t>
    <phoneticPr fontId="1" type="noConversion"/>
  </si>
  <si>
    <t>班别</t>
    <phoneticPr fontId="1" type="noConversion"/>
  </si>
  <si>
    <t>姓名</t>
    <phoneticPr fontId="1" type="noConversion"/>
  </si>
  <si>
    <t>学号</t>
    <phoneticPr fontId="1" type="noConversion"/>
  </si>
  <si>
    <t>高二一班</t>
    <phoneticPr fontId="1" type="noConversion"/>
  </si>
  <si>
    <t>杜比</t>
    <phoneticPr fontId="1" type="noConversion"/>
  </si>
  <si>
    <t>厦甜</t>
    <phoneticPr fontId="1" type="noConversion"/>
  </si>
  <si>
    <t>高德</t>
    <phoneticPr fontId="1" type="noConversion"/>
  </si>
  <si>
    <t>淑仪</t>
    <phoneticPr fontId="1" type="noConversion"/>
  </si>
  <si>
    <t>大斌</t>
    <phoneticPr fontId="1" type="noConversion"/>
  </si>
  <si>
    <t>林沐</t>
    <phoneticPr fontId="1" type="noConversion"/>
  </si>
  <si>
    <t>晓丹</t>
    <phoneticPr fontId="1" type="noConversion"/>
  </si>
  <si>
    <t>成泉</t>
    <phoneticPr fontId="1" type="noConversion"/>
  </si>
  <si>
    <t>春丹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</si>
  <si>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</si>
  <si>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</si>
  <si>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</si>
  <si>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电话</t>
    <phoneticPr fontId="1" type="noConversion"/>
  </si>
  <si>
    <t>入库时间</t>
    <phoneticPr fontId="1" type="noConversion"/>
  </si>
  <si>
    <t>英语</t>
  </si>
  <si>
    <t>成泉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</si>
</sst>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5" tint="-0.249977111117893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vertAlign val="superscript"/>
      <sz val="1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17</xdr:row>
      <xdr:rowOff>0</xdr:rowOff>
    </xdr:from>
    <xdr:to>
      <xdr:col>6</xdr:col>
      <xdr:colOff>304800</xdr:colOff>
      <xdr:row>18</xdr:row>
      <xdr:rowOff>121920</xdr:rowOff>
    </xdr:to>
    <xdr:sp macro="" textlink="">
      <xdr:nvSpPr>
        <xdr:cNvPr id="2049" name="AutoShape 1" descr="https://mmbiz.qpic.cn/mmbiz_png/DQofHxJUQfjiaE1AF6bkiaPwxicFrNsYwib4xxQcso0HYYq2XJM73oiaSOu4AwIXHy1PhkpFR6PPRCZkOck6oOVpEdg/640?wx_fmt=png&amp;tp=webp&amp;wxfrom=5&amp;wx_lazy=1&amp;wx_co=1">
          <a:extLst>
            <a:ext uri="{FF2B5EF4-FFF2-40B4-BE49-F238E27FC236}">
              <a16:creationId xmlns:a16="http://schemas.microsoft.com/office/drawing/2014/main" id="{0E9B3531-1282-493E-879E-FA35B665130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14</xdr:row>
      <xdr:rowOff>0</xdr:rowOff>
    </xdr:from>
    <xdr:to>
      <xdr:col>14</xdr:col>
      <xdr:colOff>304800</xdr:colOff>
      <xdr:row>15</xdr:row>
      <xdr:rowOff>53340</xdr:rowOff>
    </xdr:to>
    <xdr:sp macro="" textlink="">
      <xdr:nvSpPr>
        <xdr:cNvPr id="1025" name="AutoShape 1" descr="https://mmbiz.qpic.cn/mmbiz_jpg/Qleib14OWG5tiao02GiaTmjepTNoKj8zlcrUoo0aib9MxZXusMHneASStEMFRqjDJnRg5aGatUnRia0INkVSjic2snRw/640?wx_fmt=jpeg&amp;tp=webp&amp;wxfrom=5&amp;wx_lazy=1&amp;wx_co=1">
          <a:extLst>
            <a:ext uri="{FF2B5EF4-FFF2-40B4-BE49-F238E27FC236}">
              <a16:creationId xmlns:a16="http://schemas.microsoft.com/office/drawing/2014/main" id="{7B16F3DA-B3A5-4044-9D6F-17693DB5360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F8274-D364-4406-8DC8-E1DBD9F5E284}" name="表2" displayName="表2" ref="A2:F12" totalsRowShown="0">
  <autoFilter ref="A2:F12" xr:uid="{1987DEB4-36D5-4BA9-BD16-0CFE4930A3CC}"/>
  <tableColumns count="6">
    <tableColumn id="1" xr3:uid="{1D9F773C-3651-4FC4-9500-2DB957DA410D}" name="入库时间"/>
    <tableColumn id="2" xr3:uid="{0415D061-7670-4D56-B7CE-378F77E6AFB2}" name="物质"/>
    <tableColumn id="3" xr3:uid="{EB831BBA-65C0-4971-9C7E-683464463095}" name="数量"/>
    <tableColumn id="4" xr3:uid="{5DFD8A43-93FF-4B68-93E8-70043C0D98F3}" name="剩余数量"/>
    <tableColumn id="5" xr3:uid="{607CE693-3DA4-433E-93E3-9FD677BC5F0D}" name="单价"/>
    <tableColumn id="6" xr3:uid="{7CB4CDA9-6CB8-4323-86FB-D62DCE9C5C57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1D75-CF55-44F7-8A0A-9B5F697ABE72}">
  <dimension ref="A1:N25"/>
  <sheetViews>
    <sheetView workbookViewId="0">
      <selection activeCell="N12" sqref="N12"/>
    </sheetView>
  </sheetViews>
  <sheetFormatPr defaultRowHeight="14.4" x14ac:dyDescent="0.25"/>
  <cols>
    <col min="2" max="2" width="23" customWidth="1"/>
    <col min="3" max="3" width="12.33203125" customWidth="1"/>
    <col min="4" max="4" width="11.5546875" customWidth="1"/>
    <col min="5" max="5" width="22.44140625" customWidth="1"/>
    <col min="6" max="6" width="17.5546875" customWidth="1"/>
    <col min="8" max="8" width="8.88671875" style="3"/>
    <col min="10" max="10" width="16" customWidth="1"/>
    <col min="11" max="11" width="18.21875" customWidth="1"/>
    <col min="14" max="14" width="16.5546875" customWidth="1"/>
  </cols>
  <sheetData>
    <row r="1" spans="1:14" x14ac:dyDescent="0.25">
      <c r="A1" t="s">
        <v>27</v>
      </c>
      <c r="B1" t="s">
        <v>28</v>
      </c>
      <c r="C1" t="s">
        <v>29</v>
      </c>
      <c r="D1" t="s">
        <v>123</v>
      </c>
      <c r="E1" t="s">
        <v>124</v>
      </c>
      <c r="F1" t="s">
        <v>125</v>
      </c>
      <c r="G1" t="s">
        <v>126</v>
      </c>
      <c r="H1" s="3" t="s">
        <v>127</v>
      </c>
      <c r="I1" t="s">
        <v>128</v>
      </c>
      <c r="J1" t="s">
        <v>130</v>
      </c>
      <c r="K1" t="s">
        <v>131</v>
      </c>
    </row>
    <row r="2" spans="1:14" x14ac:dyDescent="0.25">
      <c r="A2" t="s">
        <v>30</v>
      </c>
      <c r="B2" t="s">
        <v>215</v>
      </c>
      <c r="C2" t="s">
        <v>31</v>
      </c>
      <c r="D2" t="s">
        <v>32</v>
      </c>
      <c r="E2" t="s">
        <v>33</v>
      </c>
      <c r="F2" s="2" t="s">
        <v>132</v>
      </c>
      <c r="G2" s="2" t="s">
        <v>133</v>
      </c>
      <c r="H2" s="4" t="s">
        <v>134</v>
      </c>
      <c r="I2" s="2" t="s">
        <v>135</v>
      </c>
      <c r="J2" s="2" t="s">
        <v>173</v>
      </c>
      <c r="K2" s="2" t="s">
        <v>174</v>
      </c>
      <c r="M2" t="s">
        <v>239</v>
      </c>
      <c r="N2">
        <f>MATCH(M2,客户属性,0)</f>
        <v>10</v>
      </c>
    </row>
    <row r="3" spans="1:14" x14ac:dyDescent="0.25">
      <c r="A3" t="s">
        <v>34</v>
      </c>
      <c r="B3" t="s">
        <v>219</v>
      </c>
      <c r="C3" t="s">
        <v>221</v>
      </c>
      <c r="D3" t="s">
        <v>36</v>
      </c>
      <c r="E3" t="s">
        <v>37</v>
      </c>
      <c r="F3" s="2" t="s">
        <v>136</v>
      </c>
      <c r="G3" s="2" t="s">
        <v>133</v>
      </c>
      <c r="H3" s="4" t="s">
        <v>137</v>
      </c>
      <c r="I3" s="2" t="s">
        <v>135</v>
      </c>
      <c r="J3" s="2" t="s">
        <v>175</v>
      </c>
      <c r="K3" s="2" t="s">
        <v>176</v>
      </c>
      <c r="M3" t="s">
        <v>217</v>
      </c>
      <c r="N3" t="e">
        <f>MATCH(M3,客户ID,0)</f>
        <v>#NAME?</v>
      </c>
    </row>
    <row r="4" spans="1:14" x14ac:dyDescent="0.25">
      <c r="A4" t="s">
        <v>218</v>
      </c>
      <c r="B4" t="s">
        <v>216</v>
      </c>
      <c r="C4" t="s">
        <v>38</v>
      </c>
      <c r="D4" t="s">
        <v>36</v>
      </c>
      <c r="E4" t="s">
        <v>39</v>
      </c>
      <c r="F4" s="2" t="s">
        <v>138</v>
      </c>
      <c r="G4" s="2" t="s">
        <v>133</v>
      </c>
      <c r="H4" s="4" t="s">
        <v>139</v>
      </c>
      <c r="I4" s="2" t="s">
        <v>135</v>
      </c>
      <c r="J4" s="2" t="s">
        <v>177</v>
      </c>
      <c r="K4" s="2"/>
    </row>
    <row r="5" spans="1:14" x14ac:dyDescent="0.25">
      <c r="A5" t="s">
        <v>40</v>
      </c>
      <c r="B5" t="s">
        <v>41</v>
      </c>
      <c r="C5" t="s">
        <v>42</v>
      </c>
      <c r="D5" t="s">
        <v>32</v>
      </c>
      <c r="E5" t="s">
        <v>43</v>
      </c>
      <c r="F5" s="2" t="s">
        <v>140</v>
      </c>
      <c r="G5" s="2" t="s">
        <v>141</v>
      </c>
      <c r="H5" s="4" t="s">
        <v>142</v>
      </c>
      <c r="I5" s="2" t="s">
        <v>135</v>
      </c>
      <c r="J5" s="2" t="s">
        <v>178</v>
      </c>
      <c r="K5" s="2" t="s">
        <v>179</v>
      </c>
      <c r="N5" t="e">
        <f>INDEX(A2:K25,N3,N2)</f>
        <v>#NAME?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s="2" t="s">
        <v>143</v>
      </c>
      <c r="G6" s="2" t="s">
        <v>144</v>
      </c>
      <c r="H6" s="4" t="s">
        <v>145</v>
      </c>
      <c r="I6" s="2" t="s">
        <v>135</v>
      </c>
      <c r="J6" s="2" t="s">
        <v>180</v>
      </c>
      <c r="K6" s="2" t="s">
        <v>181</v>
      </c>
    </row>
    <row r="7" spans="1:14" ht="16.8" x14ac:dyDescent="0.25">
      <c r="A7" t="s">
        <v>49</v>
      </c>
      <c r="B7" t="s">
        <v>50</v>
      </c>
      <c r="C7" t="s">
        <v>35</v>
      </c>
      <c r="D7" t="s">
        <v>220</v>
      </c>
      <c r="E7" t="s">
        <v>51</v>
      </c>
      <c r="F7" s="2" t="s">
        <v>132</v>
      </c>
      <c r="G7" s="2" t="s">
        <v>133</v>
      </c>
      <c r="H7" s="4" t="s">
        <v>146</v>
      </c>
      <c r="I7" s="2" t="s">
        <v>135</v>
      </c>
      <c r="J7" s="2" t="s">
        <v>182</v>
      </c>
      <c r="K7" s="2" t="s">
        <v>183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s="2" t="s">
        <v>147</v>
      </c>
      <c r="G8" s="2" t="s">
        <v>148</v>
      </c>
      <c r="H8" s="4" t="s">
        <v>149</v>
      </c>
      <c r="I8" s="2" t="s">
        <v>135</v>
      </c>
      <c r="J8" s="2" t="s">
        <v>184</v>
      </c>
      <c r="K8" s="2" t="s">
        <v>185</v>
      </c>
      <c r="M8" t="s">
        <v>129</v>
      </c>
      <c r="N8">
        <f>MATCH(M8,客户属性,0)</f>
        <v>10</v>
      </c>
    </row>
    <row r="9" spans="1:14" x14ac:dyDescent="0.25">
      <c r="A9" t="s">
        <v>57</v>
      </c>
      <c r="B9" t="s">
        <v>58</v>
      </c>
      <c r="C9" t="s">
        <v>59</v>
      </c>
      <c r="D9" t="s">
        <v>36</v>
      </c>
      <c r="E9" t="s">
        <v>60</v>
      </c>
      <c r="F9" s="2" t="s">
        <v>150</v>
      </c>
      <c r="G9" s="2" t="s">
        <v>151</v>
      </c>
      <c r="H9" s="4" t="s">
        <v>152</v>
      </c>
      <c r="I9" s="2" t="s">
        <v>135</v>
      </c>
      <c r="J9" s="2" t="s">
        <v>186</v>
      </c>
      <c r="K9" s="2" t="s">
        <v>187</v>
      </c>
      <c r="M9" t="s">
        <v>217</v>
      </c>
      <c r="N9">
        <f>MATCH(M9,用户ID,0)</f>
        <v>3</v>
      </c>
    </row>
    <row r="10" spans="1:14" x14ac:dyDescent="0.25">
      <c r="A10" t="s">
        <v>61</v>
      </c>
      <c r="B10" t="s">
        <v>62</v>
      </c>
      <c r="C10" t="s">
        <v>63</v>
      </c>
      <c r="D10" t="s">
        <v>36</v>
      </c>
      <c r="E10" t="s">
        <v>64</v>
      </c>
      <c r="F10" s="2" t="s">
        <v>153</v>
      </c>
      <c r="G10" s="2" t="s">
        <v>154</v>
      </c>
      <c r="H10" s="4">
        <v>567690</v>
      </c>
      <c r="I10" s="2" t="s">
        <v>135</v>
      </c>
      <c r="J10" s="2" t="s">
        <v>188</v>
      </c>
      <c r="K10" s="2" t="s">
        <v>189</v>
      </c>
      <c r="N10" t="str">
        <f>INDEX(A2:K25,N9,N8)</f>
        <v>(0321)5553932</v>
      </c>
    </row>
    <row r="11" spans="1:14" x14ac:dyDescent="0.25">
      <c r="A11" t="s">
        <v>65</v>
      </c>
      <c r="B11" t="s">
        <v>66</v>
      </c>
      <c r="C11" t="s">
        <v>35</v>
      </c>
      <c r="D11" t="s">
        <v>67</v>
      </c>
      <c r="E11" t="s">
        <v>68</v>
      </c>
      <c r="F11" s="2" t="s">
        <v>153</v>
      </c>
      <c r="G11" s="2" t="s">
        <v>154</v>
      </c>
      <c r="H11" s="4" t="s">
        <v>155</v>
      </c>
      <c r="I11" s="2" t="s">
        <v>135</v>
      </c>
      <c r="J11" s="2" t="s">
        <v>190</v>
      </c>
      <c r="K11" s="2" t="s">
        <v>191</v>
      </c>
    </row>
    <row r="12" spans="1:14" x14ac:dyDescent="0.25">
      <c r="A12" t="s">
        <v>69</v>
      </c>
      <c r="B12" t="s">
        <v>70</v>
      </c>
      <c r="C12" t="s">
        <v>71</v>
      </c>
      <c r="D12" t="s">
        <v>32</v>
      </c>
      <c r="E12" t="s">
        <v>72</v>
      </c>
      <c r="F12" s="2" t="s">
        <v>156</v>
      </c>
      <c r="G12" s="2" t="s">
        <v>141</v>
      </c>
      <c r="H12" s="4" t="s">
        <v>157</v>
      </c>
      <c r="I12" s="2" t="s">
        <v>135</v>
      </c>
      <c r="J12" s="2" t="s">
        <v>192</v>
      </c>
      <c r="K12" s="2"/>
    </row>
    <row r="13" spans="1:14" x14ac:dyDescent="0.25">
      <c r="A13" t="s">
        <v>73</v>
      </c>
      <c r="B13" t="s">
        <v>74</v>
      </c>
      <c r="C13" t="s">
        <v>63</v>
      </c>
      <c r="D13" t="s">
        <v>75</v>
      </c>
      <c r="E13" t="s">
        <v>76</v>
      </c>
      <c r="F13" s="2" t="s">
        <v>147</v>
      </c>
      <c r="G13" s="2" t="s">
        <v>148</v>
      </c>
      <c r="H13" s="4">
        <v>120412</v>
      </c>
      <c r="I13" s="2" t="s">
        <v>135</v>
      </c>
      <c r="J13" s="2" t="s">
        <v>193</v>
      </c>
      <c r="K13" s="2" t="s">
        <v>194</v>
      </c>
    </row>
    <row r="14" spans="1:14" x14ac:dyDescent="0.25">
      <c r="A14" t="s">
        <v>77</v>
      </c>
      <c r="B14" t="s">
        <v>78</v>
      </c>
      <c r="C14" t="s">
        <v>35</v>
      </c>
      <c r="D14" t="s">
        <v>79</v>
      </c>
      <c r="E14" t="s">
        <v>80</v>
      </c>
      <c r="F14" s="2" t="s">
        <v>147</v>
      </c>
      <c r="G14" s="2" t="s">
        <v>148</v>
      </c>
      <c r="H14" s="4">
        <v>30083</v>
      </c>
      <c r="I14" s="2" t="s">
        <v>135</v>
      </c>
      <c r="J14" s="2" t="s">
        <v>195</v>
      </c>
      <c r="K14" s="2" t="s">
        <v>196</v>
      </c>
    </row>
    <row r="15" spans="1:14" x14ac:dyDescent="0.25">
      <c r="B15" t="s">
        <v>81</v>
      </c>
      <c r="C15" t="s">
        <v>42</v>
      </c>
      <c r="D15" t="s">
        <v>36</v>
      </c>
      <c r="E15" t="s">
        <v>82</v>
      </c>
      <c r="F15" s="2" t="s">
        <v>136</v>
      </c>
      <c r="G15" s="2" t="s">
        <v>133</v>
      </c>
      <c r="H15" s="4" t="s">
        <v>158</v>
      </c>
      <c r="I15" s="2" t="s">
        <v>135</v>
      </c>
      <c r="J15" s="2" t="s">
        <v>197</v>
      </c>
      <c r="K15" s="2"/>
    </row>
    <row r="16" spans="1:14" x14ac:dyDescent="0.25">
      <c r="A16" t="s">
        <v>83</v>
      </c>
      <c r="B16" t="s">
        <v>84</v>
      </c>
      <c r="C16" t="s">
        <v>63</v>
      </c>
      <c r="D16" t="s">
        <v>85</v>
      </c>
      <c r="E16" t="s">
        <v>86</v>
      </c>
      <c r="F16" s="2" t="s">
        <v>132</v>
      </c>
      <c r="G16" s="2" t="s">
        <v>133</v>
      </c>
      <c r="H16" s="4" t="s">
        <v>159</v>
      </c>
      <c r="I16" s="2" t="s">
        <v>135</v>
      </c>
      <c r="J16" s="2" t="s">
        <v>198</v>
      </c>
      <c r="K16" s="2"/>
    </row>
    <row r="17" spans="1:11" x14ac:dyDescent="0.25">
      <c r="A17" t="s">
        <v>87</v>
      </c>
      <c r="B17" t="s">
        <v>88</v>
      </c>
      <c r="C17" t="s">
        <v>89</v>
      </c>
      <c r="D17" t="s">
        <v>32</v>
      </c>
      <c r="E17" t="s">
        <v>90</v>
      </c>
      <c r="F17" s="2" t="s">
        <v>160</v>
      </c>
      <c r="G17" s="2" t="s">
        <v>141</v>
      </c>
      <c r="H17" s="4" t="s">
        <v>161</v>
      </c>
      <c r="I17" s="2" t="s">
        <v>135</v>
      </c>
      <c r="J17" s="2" t="s">
        <v>199</v>
      </c>
      <c r="K17" s="2" t="s">
        <v>200</v>
      </c>
    </row>
    <row r="18" spans="1:11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s="2" t="s">
        <v>162</v>
      </c>
      <c r="G18" s="2" t="s">
        <v>141</v>
      </c>
      <c r="H18" s="4" t="s">
        <v>163</v>
      </c>
      <c r="I18" s="2" t="s">
        <v>135</v>
      </c>
      <c r="J18" s="2" t="s">
        <v>201</v>
      </c>
      <c r="K18" s="2" t="s">
        <v>202</v>
      </c>
    </row>
    <row r="19" spans="1:11" x14ac:dyDescent="0.25">
      <c r="A19" t="s">
        <v>96</v>
      </c>
      <c r="B19" t="s">
        <v>119</v>
      </c>
      <c r="C19" t="s">
        <v>97</v>
      </c>
      <c r="D19" t="s">
        <v>36</v>
      </c>
      <c r="E19" t="s">
        <v>98</v>
      </c>
      <c r="F19" s="2" t="s">
        <v>164</v>
      </c>
      <c r="G19" s="2" t="s">
        <v>144</v>
      </c>
      <c r="H19" s="4" t="s">
        <v>165</v>
      </c>
      <c r="I19" s="2" t="s">
        <v>135</v>
      </c>
      <c r="J19" s="2" t="s">
        <v>203</v>
      </c>
      <c r="K19" s="2" t="s">
        <v>204</v>
      </c>
    </row>
    <row r="20" spans="1:11" x14ac:dyDescent="0.25">
      <c r="A20" t="s">
        <v>99</v>
      </c>
      <c r="B20" t="s">
        <v>100</v>
      </c>
      <c r="C20" t="s">
        <v>89</v>
      </c>
      <c r="D20" t="s">
        <v>75</v>
      </c>
      <c r="E20" t="s">
        <v>101</v>
      </c>
      <c r="F20" s="2" t="s">
        <v>132</v>
      </c>
      <c r="G20" s="2" t="s">
        <v>133</v>
      </c>
      <c r="H20" s="4" t="s">
        <v>166</v>
      </c>
      <c r="I20" s="2" t="s">
        <v>135</v>
      </c>
      <c r="J20" s="2" t="s">
        <v>205</v>
      </c>
      <c r="K20" s="2" t="s">
        <v>206</v>
      </c>
    </row>
    <row r="21" spans="1:11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s="2" t="s">
        <v>167</v>
      </c>
      <c r="G21" s="2" t="s">
        <v>141</v>
      </c>
      <c r="H21" s="4" t="s">
        <v>168</v>
      </c>
      <c r="I21" s="2" t="s">
        <v>135</v>
      </c>
      <c r="J21" s="2" t="s">
        <v>207</v>
      </c>
      <c r="K21" s="2" t="s">
        <v>208</v>
      </c>
    </row>
    <row r="22" spans="1:11" x14ac:dyDescent="0.25">
      <c r="A22" t="s">
        <v>107</v>
      </c>
      <c r="B22" t="s">
        <v>122</v>
      </c>
      <c r="C22" t="s">
        <v>35</v>
      </c>
      <c r="D22" t="s">
        <v>108</v>
      </c>
      <c r="E22" t="s">
        <v>109</v>
      </c>
      <c r="F22" s="2"/>
      <c r="G22" s="2" t="s">
        <v>141</v>
      </c>
      <c r="H22" s="4" t="s">
        <v>169</v>
      </c>
      <c r="I22" s="2" t="s">
        <v>135</v>
      </c>
      <c r="J22" s="2" t="s">
        <v>209</v>
      </c>
      <c r="K22" s="2"/>
    </row>
    <row r="23" spans="1:11" x14ac:dyDescent="0.25">
      <c r="A23" t="s">
        <v>110</v>
      </c>
      <c r="B23" t="s">
        <v>111</v>
      </c>
      <c r="C23" t="s">
        <v>31</v>
      </c>
      <c r="D23" t="s">
        <v>112</v>
      </c>
      <c r="E23" t="s">
        <v>113</v>
      </c>
      <c r="F23" s="2" t="s">
        <v>136</v>
      </c>
      <c r="G23" s="2" t="s">
        <v>133</v>
      </c>
      <c r="H23" s="4" t="s">
        <v>170</v>
      </c>
      <c r="I23" s="2" t="s">
        <v>135</v>
      </c>
      <c r="J23" s="2" t="s">
        <v>210</v>
      </c>
      <c r="K23" s="2" t="s">
        <v>211</v>
      </c>
    </row>
    <row r="24" spans="1:11" x14ac:dyDescent="0.25">
      <c r="A24" t="s">
        <v>114</v>
      </c>
      <c r="B24" t="s">
        <v>121</v>
      </c>
      <c r="C24" t="s">
        <v>63</v>
      </c>
      <c r="D24" t="s">
        <v>115</v>
      </c>
      <c r="F24" s="2" t="s">
        <v>138</v>
      </c>
      <c r="G24" s="2" t="s">
        <v>133</v>
      </c>
      <c r="H24" s="4" t="s">
        <v>171</v>
      </c>
      <c r="I24" s="2" t="s">
        <v>135</v>
      </c>
      <c r="J24" s="2" t="s">
        <v>212</v>
      </c>
      <c r="K24" s="2" t="s">
        <v>213</v>
      </c>
    </row>
    <row r="25" spans="1:11" x14ac:dyDescent="0.25">
      <c r="A25" t="s">
        <v>116</v>
      </c>
      <c r="B25" t="s">
        <v>120</v>
      </c>
      <c r="C25" t="s">
        <v>117</v>
      </c>
      <c r="D25" t="s">
        <v>36</v>
      </c>
      <c r="E25" t="s">
        <v>118</v>
      </c>
      <c r="F25" s="2" t="s">
        <v>143</v>
      </c>
      <c r="G25" s="2" t="s">
        <v>144</v>
      </c>
      <c r="H25" s="4" t="s">
        <v>172</v>
      </c>
      <c r="I25" s="2" t="s">
        <v>135</v>
      </c>
      <c r="J25" s="2" t="s">
        <v>214</v>
      </c>
      <c r="K25" s="2"/>
    </row>
  </sheetData>
  <phoneticPr fontId="1" type="noConversion"/>
  <dataValidations count="3">
    <dataValidation type="list" allowBlank="1" showInputMessage="1" showErrorMessage="1" sqref="M2 M8" xr:uid="{85EC23EF-3EB7-4E3D-9B33-A6E51FB10CC6}">
      <formula1>客户属性</formula1>
    </dataValidation>
    <dataValidation type="list" allowBlank="1" showInputMessage="1" showErrorMessage="1" sqref="M3" xr:uid="{43DDA1D2-C756-426F-9C6D-40B184EA3610}">
      <formula1>客户ID</formula1>
    </dataValidation>
    <dataValidation type="list" allowBlank="1" showInputMessage="1" showErrorMessage="1" sqref="M9" xr:uid="{8428745F-13A3-4376-BD83-F5CC54702CCA}">
      <formula1>用户ID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21D7-9304-4093-8A7B-285225EE91DD}">
  <dimension ref="A1:J28"/>
  <sheetViews>
    <sheetView tabSelected="1" zoomScale="145" zoomScaleNormal="145" workbookViewId="0">
      <selection activeCell="J6" sqref="J6"/>
    </sheetView>
  </sheetViews>
  <sheetFormatPr defaultRowHeight="14.4" x14ac:dyDescent="0.25"/>
  <cols>
    <col min="1" max="6" width="8.88671875" style="1"/>
    <col min="9" max="9" width="9" style="1" customWidth="1"/>
    <col min="10" max="10" width="21.5546875" style="1" customWidth="1"/>
  </cols>
  <sheetData>
    <row r="1" spans="1:10" x14ac:dyDescent="0.25">
      <c r="A1" s="1" t="s">
        <v>222</v>
      </c>
      <c r="B1" s="1" t="s">
        <v>223</v>
      </c>
      <c r="C1" s="1" t="s">
        <v>225</v>
      </c>
      <c r="D1" s="1" t="s">
        <v>224</v>
      </c>
      <c r="E1" s="1" t="s">
        <v>236</v>
      </c>
      <c r="F1" s="1" t="s">
        <v>237</v>
      </c>
      <c r="G1" s="1" t="s">
        <v>238</v>
      </c>
      <c r="J1" s="1" t="s">
        <v>241</v>
      </c>
    </row>
    <row r="2" spans="1:10" x14ac:dyDescent="0.25">
      <c r="A2" s="1">
        <v>1</v>
      </c>
      <c r="B2" s="1" t="s">
        <v>226</v>
      </c>
      <c r="C2" s="1">
        <v>200801</v>
      </c>
      <c r="D2" s="1" t="s">
        <v>235</v>
      </c>
      <c r="E2" s="1">
        <v>77</v>
      </c>
      <c r="F2" s="1">
        <v>78</v>
      </c>
      <c r="G2" s="1">
        <v>57</v>
      </c>
      <c r="I2" s="1" t="s">
        <v>242</v>
      </c>
      <c r="J2" s="1">
        <f>INDEX($D$1:$G$10,MATCH($I$2,$D$1:$D$10,0),MATCH($J$1,$D$1:$G$1,0))</f>
        <v>96</v>
      </c>
    </row>
    <row r="3" spans="1:10" x14ac:dyDescent="0.25">
      <c r="A3" s="1">
        <v>4</v>
      </c>
      <c r="B3" s="1" t="s">
        <v>226</v>
      </c>
      <c r="C3" s="1">
        <v>200802</v>
      </c>
      <c r="D3" s="1" t="s">
        <v>227</v>
      </c>
      <c r="E3" s="1">
        <v>34</v>
      </c>
      <c r="F3" s="1">
        <v>68</v>
      </c>
      <c r="G3" s="1">
        <v>95</v>
      </c>
    </row>
    <row r="4" spans="1:10" x14ac:dyDescent="0.25">
      <c r="A4" s="1">
        <v>7</v>
      </c>
      <c r="B4" s="1" t="s">
        <v>226</v>
      </c>
      <c r="C4" s="1">
        <v>200803</v>
      </c>
      <c r="D4" s="1" t="s">
        <v>228</v>
      </c>
      <c r="E4" s="1">
        <v>56</v>
      </c>
      <c r="F4" s="1">
        <v>86</v>
      </c>
      <c r="G4" s="1">
        <v>56</v>
      </c>
    </row>
    <row r="5" spans="1:10" x14ac:dyDescent="0.25">
      <c r="A5" s="1">
        <v>10</v>
      </c>
      <c r="B5" s="1" t="s">
        <v>226</v>
      </c>
      <c r="C5" s="1">
        <v>200804</v>
      </c>
      <c r="D5" s="1" t="s">
        <v>229</v>
      </c>
      <c r="E5" s="1">
        <v>76</v>
      </c>
      <c r="F5" s="1">
        <v>86</v>
      </c>
      <c r="G5" s="1">
        <v>68</v>
      </c>
    </row>
    <row r="6" spans="1:10" x14ac:dyDescent="0.25">
      <c r="A6" s="1">
        <v>13</v>
      </c>
      <c r="B6" s="1" t="s">
        <v>226</v>
      </c>
      <c r="C6" s="1">
        <v>200805</v>
      </c>
      <c r="D6" s="1" t="s">
        <v>230</v>
      </c>
      <c r="E6" s="1">
        <v>67</v>
      </c>
      <c r="F6" s="1">
        <v>86</v>
      </c>
      <c r="G6" s="1">
        <v>96</v>
      </c>
    </row>
    <row r="7" spans="1:10" x14ac:dyDescent="0.25">
      <c r="A7" s="1">
        <v>16</v>
      </c>
      <c r="B7" s="1" t="s">
        <v>226</v>
      </c>
      <c r="C7" s="1">
        <v>200806</v>
      </c>
      <c r="D7" s="1" t="s">
        <v>231</v>
      </c>
      <c r="E7" s="1">
        <v>89</v>
      </c>
      <c r="F7" s="1">
        <v>56</v>
      </c>
      <c r="G7" s="1">
        <v>67</v>
      </c>
    </row>
    <row r="8" spans="1:10" x14ac:dyDescent="0.25">
      <c r="A8" s="1">
        <v>19</v>
      </c>
      <c r="B8" s="1" t="s">
        <v>226</v>
      </c>
      <c r="C8" s="1">
        <v>200807</v>
      </c>
      <c r="D8" s="1" t="s">
        <v>232</v>
      </c>
      <c r="E8" s="1">
        <v>88</v>
      </c>
      <c r="F8" s="1">
        <v>67</v>
      </c>
      <c r="G8" s="1">
        <v>98</v>
      </c>
    </row>
    <row r="9" spans="1:10" x14ac:dyDescent="0.25">
      <c r="A9" s="1">
        <v>22</v>
      </c>
      <c r="B9" s="1" t="s">
        <v>226</v>
      </c>
      <c r="C9" s="1">
        <v>200808</v>
      </c>
      <c r="D9" s="1" t="s">
        <v>233</v>
      </c>
      <c r="E9" s="1">
        <v>98</v>
      </c>
      <c r="F9" s="1">
        <v>67</v>
      </c>
      <c r="G9" s="1">
        <v>77</v>
      </c>
    </row>
    <row r="10" spans="1:10" x14ac:dyDescent="0.25">
      <c r="A10" s="1">
        <v>25</v>
      </c>
      <c r="B10" s="1" t="s">
        <v>226</v>
      </c>
      <c r="C10" s="1">
        <v>200809</v>
      </c>
      <c r="D10" s="1" t="s">
        <v>234</v>
      </c>
      <c r="E10" s="1">
        <v>88</v>
      </c>
      <c r="F10" s="1">
        <v>67</v>
      </c>
      <c r="G10" s="1">
        <v>96</v>
      </c>
    </row>
    <row r="11" spans="1:10" x14ac:dyDescent="0.25">
      <c r="A11"/>
      <c r="B11"/>
      <c r="C11"/>
      <c r="D11"/>
      <c r="E11"/>
      <c r="F11"/>
    </row>
    <row r="12" spans="1:10" x14ac:dyDescent="0.25">
      <c r="A12"/>
      <c r="C12"/>
      <c r="D12"/>
      <c r="E12"/>
      <c r="F12"/>
    </row>
    <row r="13" spans="1:10" x14ac:dyDescent="0.25">
      <c r="A13"/>
      <c r="C13"/>
      <c r="D13"/>
      <c r="E13"/>
      <c r="F13"/>
    </row>
    <row r="14" spans="1:10" x14ac:dyDescent="0.25">
      <c r="A14"/>
      <c r="C14"/>
      <c r="D14"/>
      <c r="E14"/>
      <c r="F14"/>
    </row>
    <row r="15" spans="1:10" x14ac:dyDescent="0.25">
      <c r="A15"/>
      <c r="C15"/>
      <c r="D15"/>
      <c r="E15"/>
      <c r="F15"/>
    </row>
    <row r="16" spans="1:10" x14ac:dyDescent="0.25">
      <c r="A16"/>
      <c r="C16"/>
      <c r="D16"/>
      <c r="E16"/>
      <c r="F16"/>
    </row>
    <row r="17" spans="1:6" x14ac:dyDescent="0.25">
      <c r="A17"/>
      <c r="C17"/>
      <c r="D17"/>
      <c r="E17"/>
      <c r="F17"/>
    </row>
    <row r="18" spans="1:6" x14ac:dyDescent="0.25">
      <c r="A18"/>
      <c r="C18"/>
      <c r="D18"/>
      <c r="E18"/>
      <c r="F18"/>
    </row>
    <row r="19" spans="1:6" x14ac:dyDescent="0.25">
      <c r="A19"/>
      <c r="C19"/>
      <c r="D19"/>
      <c r="E19"/>
      <c r="F19"/>
    </row>
    <row r="20" spans="1:6" x14ac:dyDescent="0.25">
      <c r="A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  <row r="25" spans="1:6" x14ac:dyDescent="0.25">
      <c r="A25"/>
      <c r="B25"/>
      <c r="C25"/>
      <c r="D25"/>
      <c r="E25"/>
      <c r="F25"/>
    </row>
    <row r="26" spans="1:6" x14ac:dyDescent="0.25">
      <c r="A26"/>
      <c r="B26"/>
      <c r="C26"/>
      <c r="D26"/>
      <c r="E26"/>
      <c r="F26"/>
    </row>
    <row r="27" spans="1:6" x14ac:dyDescent="0.25">
      <c r="A27"/>
      <c r="B27"/>
      <c r="C27"/>
      <c r="D27"/>
      <c r="E27"/>
      <c r="F27"/>
    </row>
    <row r="28" spans="1:6" x14ac:dyDescent="0.25">
      <c r="A28"/>
      <c r="B28"/>
      <c r="C28"/>
      <c r="D28"/>
      <c r="E28"/>
      <c r="F28"/>
    </row>
  </sheetData>
  <phoneticPr fontId="1" type="noConversion"/>
  <dataValidations count="2">
    <dataValidation type="list" allowBlank="1" showInputMessage="1" showErrorMessage="1" sqref="H2:I2" xr:uid="{F85378B9-17AB-4C2D-BB35-4121DB96562E}">
      <formula1>姓名</formula1>
    </dataValidation>
    <dataValidation type="list" allowBlank="1" showInputMessage="1" showErrorMessage="1" sqref="J1" xr:uid="{2F83EFFB-528A-4CFA-A738-36BDC2273C4D}">
      <formula1>$E$1:$G$1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F26D-3E7F-4B38-8444-06193818C428}">
  <dimension ref="A1:F17"/>
  <sheetViews>
    <sheetView topLeftCell="A7" workbookViewId="0">
      <selection activeCell="B17" sqref="B17"/>
    </sheetView>
  </sheetViews>
  <sheetFormatPr defaultRowHeight="19.8" customHeight="1" x14ac:dyDescent="0.25"/>
  <cols>
    <col min="1" max="1" width="11.44140625" customWidth="1"/>
    <col min="2" max="2" width="14.21875" customWidth="1"/>
    <col min="4" max="4" width="11.33203125" customWidth="1"/>
  </cols>
  <sheetData>
    <row r="1" spans="1:6" ht="26.4" customHeight="1" x14ac:dyDescent="0.25">
      <c r="A1" s="5" t="s">
        <v>26</v>
      </c>
      <c r="B1" s="5"/>
      <c r="C1" s="5"/>
      <c r="D1" s="5"/>
      <c r="E1" s="5"/>
      <c r="F1" s="5"/>
    </row>
    <row r="2" spans="1:6" ht="19.8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9.8" customHeight="1" x14ac:dyDescent="0.25">
      <c r="A3" t="s">
        <v>6</v>
      </c>
      <c r="B3" t="s">
        <v>7</v>
      </c>
      <c r="C3">
        <v>20</v>
      </c>
      <c r="D3">
        <v>9</v>
      </c>
      <c r="E3">
        <v>30</v>
      </c>
    </row>
    <row r="4" spans="1:6" ht="19.8" customHeight="1" x14ac:dyDescent="0.25">
      <c r="A4" t="s">
        <v>8</v>
      </c>
      <c r="B4" t="s">
        <v>9</v>
      </c>
      <c r="C4">
        <v>1000</v>
      </c>
      <c r="D4">
        <v>11</v>
      </c>
      <c r="E4">
        <v>22</v>
      </c>
    </row>
    <row r="5" spans="1:6" ht="19.8" customHeight="1" x14ac:dyDescent="0.25">
      <c r="A5" t="s">
        <v>19</v>
      </c>
      <c r="B5" t="s">
        <v>10</v>
      </c>
      <c r="C5">
        <v>23</v>
      </c>
      <c r="D5">
        <v>1</v>
      </c>
      <c r="E5">
        <v>2300</v>
      </c>
    </row>
    <row r="6" spans="1:6" ht="19.8" customHeight="1" x14ac:dyDescent="0.25">
      <c r="A6" t="s">
        <v>19</v>
      </c>
      <c r="B6" t="s">
        <v>11</v>
      </c>
      <c r="C6">
        <v>10</v>
      </c>
      <c r="D6">
        <v>1</v>
      </c>
      <c r="E6">
        <v>345</v>
      </c>
    </row>
    <row r="7" spans="1:6" ht="19.8" customHeight="1" x14ac:dyDescent="0.25">
      <c r="A7" t="s">
        <v>22</v>
      </c>
      <c r="B7" t="s">
        <v>12</v>
      </c>
      <c r="C7">
        <v>1000</v>
      </c>
      <c r="D7">
        <v>23</v>
      </c>
      <c r="E7">
        <v>23.5</v>
      </c>
      <c r="F7" t="s">
        <v>18</v>
      </c>
    </row>
    <row r="8" spans="1:6" ht="19.8" customHeight="1" x14ac:dyDescent="0.25">
      <c r="A8" t="s">
        <v>21</v>
      </c>
      <c r="B8" t="s">
        <v>13</v>
      </c>
      <c r="C8">
        <v>20</v>
      </c>
      <c r="D8">
        <v>2</v>
      </c>
      <c r="E8">
        <v>45</v>
      </c>
    </row>
    <row r="9" spans="1:6" ht="19.8" customHeight="1" x14ac:dyDescent="0.25">
      <c r="A9" t="s">
        <v>20</v>
      </c>
      <c r="B9" t="s">
        <v>14</v>
      </c>
      <c r="C9">
        <v>34</v>
      </c>
      <c r="D9">
        <v>3</v>
      </c>
      <c r="E9">
        <v>50</v>
      </c>
    </row>
    <row r="10" spans="1:6" ht="19.8" customHeight="1" x14ac:dyDescent="0.25">
      <c r="A10" t="s">
        <v>23</v>
      </c>
      <c r="B10" t="s">
        <v>15</v>
      </c>
      <c r="C10">
        <v>3</v>
      </c>
      <c r="D10">
        <v>45</v>
      </c>
      <c r="E10">
        <v>2000</v>
      </c>
    </row>
    <row r="11" spans="1:6" ht="19.8" customHeight="1" x14ac:dyDescent="0.25">
      <c r="A11" t="s">
        <v>25</v>
      </c>
      <c r="B11" t="s">
        <v>16</v>
      </c>
      <c r="C11">
        <v>234</v>
      </c>
      <c r="D11">
        <v>55</v>
      </c>
      <c r="E11">
        <v>89</v>
      </c>
    </row>
    <row r="12" spans="1:6" ht="19.8" customHeight="1" x14ac:dyDescent="0.25">
      <c r="A12" t="s">
        <v>24</v>
      </c>
      <c r="B12" t="s">
        <v>17</v>
      </c>
      <c r="C12">
        <v>2000</v>
      </c>
      <c r="D12">
        <v>2</v>
      </c>
      <c r="E12">
        <v>22</v>
      </c>
    </row>
    <row r="16" spans="1:6" ht="19.8" customHeight="1" x14ac:dyDescent="0.25">
      <c r="A16" s="1"/>
      <c r="B16" s="1" t="s">
        <v>240</v>
      </c>
    </row>
    <row r="17" spans="1:2" ht="19.8" customHeight="1" x14ac:dyDescent="0.25">
      <c r="A17" s="1">
        <v>88</v>
      </c>
      <c r="B17" s="1" t="str">
        <f>INDEX(A4:A13,MATCH("*"&amp; A17 &amp; "*",B4:B13,0))</f>
        <v>2005.1.28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80" verticalDpi="18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客户资料</vt:lpstr>
      <vt:lpstr>成绩表</vt:lpstr>
      <vt:lpstr>滞留物资报表</vt:lpstr>
      <vt:lpstr>客户属性</vt:lpstr>
      <vt:lpstr>属性</vt:lpstr>
      <vt:lpstr>姓名</vt:lpstr>
      <vt:lpstr>学科</vt:lpstr>
      <vt:lpstr>用户ID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2018-09-29T09:25:19Z</dcterms:created>
  <dcterms:modified xsi:type="dcterms:W3CDTF">2024-10-26T14:57:55Z</dcterms:modified>
</cp:coreProperties>
</file>