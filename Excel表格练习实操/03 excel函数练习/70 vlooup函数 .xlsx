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3 excel函数练习\"/>
    </mc:Choice>
  </mc:AlternateContent>
  <xr:revisionPtr revIDLastSave="0" documentId="13_ncr:1_{0D0ED602-7639-4262-83F2-9AA9340C6D51}" xr6:coauthVersionLast="47" xr6:coauthVersionMax="47" xr10:uidLastSave="{00000000-0000-0000-0000-000000000000}"/>
  <bookViews>
    <workbookView xWindow="-108" yWindow="-108" windowWidth="23256" windowHeight="12456" activeTab="2" xr2:uid="{DF09ADE4-E5E4-4845-B248-E7BDE8E2A876}"/>
  </bookViews>
  <sheets>
    <sheet name="简单版" sheetId="1" r:id="rId1"/>
    <sheet name="津贴发放" sheetId="2" r:id="rId2"/>
    <sheet name="员工银行账号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F2" i="1"/>
  <c r="F3" i="1"/>
  <c r="F4" i="1"/>
  <c r="F5" i="1"/>
  <c r="F1" i="1"/>
</calcChain>
</file>

<file path=xl/sharedStrings.xml><?xml version="1.0" encoding="utf-8"?>
<sst xmlns="http://schemas.openxmlformats.org/spreadsheetml/2006/main" count="109" uniqueCount="53">
  <si>
    <t>A</t>
    <phoneticPr fontId="3" type="noConversion"/>
  </si>
  <si>
    <t>B</t>
    <phoneticPr fontId="3" type="noConversion"/>
  </si>
  <si>
    <t>D</t>
    <phoneticPr fontId="3" type="noConversion"/>
  </si>
  <si>
    <t>C</t>
    <phoneticPr fontId="3" type="noConversion"/>
  </si>
  <si>
    <t>E</t>
    <phoneticPr fontId="3" type="noConversion"/>
  </si>
  <si>
    <t>序号</t>
    <phoneticPr fontId="3" type="noConversion"/>
  </si>
  <si>
    <t>部门</t>
    <phoneticPr fontId="3" type="noConversion"/>
  </si>
  <si>
    <t>姓名</t>
    <phoneticPr fontId="3" type="noConversion"/>
  </si>
  <si>
    <t>发放金额</t>
    <phoneticPr fontId="3" type="noConversion"/>
  </si>
  <si>
    <t>银行账号</t>
    <phoneticPr fontId="3" type="noConversion"/>
  </si>
  <si>
    <t>编辑部</t>
    <phoneticPr fontId="3" type="noConversion"/>
  </si>
  <si>
    <t>张全蛋</t>
    <phoneticPr fontId="3" type="noConversion"/>
  </si>
  <si>
    <t>李大仁</t>
    <phoneticPr fontId="3" type="noConversion"/>
  </si>
  <si>
    <t>黄翠花</t>
    <phoneticPr fontId="3" type="noConversion"/>
  </si>
  <si>
    <t>杨晓丽</t>
    <phoneticPr fontId="3" type="noConversion"/>
  </si>
  <si>
    <t>杨春丹</t>
    <phoneticPr fontId="3" type="noConversion"/>
  </si>
  <si>
    <t>奥特曼</t>
    <phoneticPr fontId="3" type="noConversion"/>
  </si>
  <si>
    <t>伏特加</t>
    <phoneticPr fontId="3" type="noConversion"/>
  </si>
  <si>
    <t>比沙特</t>
    <phoneticPr fontId="3" type="noConversion"/>
  </si>
  <si>
    <t>运营部</t>
    <phoneticPr fontId="3" type="noConversion"/>
  </si>
  <si>
    <t>王大锤</t>
    <phoneticPr fontId="3" type="noConversion"/>
  </si>
  <si>
    <t>费玉石</t>
    <phoneticPr fontId="3" type="noConversion"/>
  </si>
  <si>
    <t>陈美丽</t>
    <phoneticPr fontId="3" type="noConversion"/>
  </si>
  <si>
    <t>郑动西</t>
    <phoneticPr fontId="3" type="noConversion"/>
  </si>
  <si>
    <t>张天桥</t>
    <phoneticPr fontId="3" type="noConversion"/>
  </si>
  <si>
    <t>李景田</t>
    <phoneticPr fontId="3" type="noConversion"/>
  </si>
  <si>
    <t>方大人</t>
    <phoneticPr fontId="3" type="noConversion"/>
  </si>
  <si>
    <t>财务部</t>
    <phoneticPr fontId="3" type="noConversion"/>
  </si>
  <si>
    <t>小崔向</t>
    <phoneticPr fontId="3" type="noConversion"/>
  </si>
  <si>
    <t>哆啦A梦</t>
    <phoneticPr fontId="3" type="noConversion"/>
  </si>
  <si>
    <t>王小梦</t>
    <phoneticPr fontId="3" type="noConversion"/>
  </si>
  <si>
    <t>性别</t>
    <phoneticPr fontId="3" type="noConversion"/>
  </si>
  <si>
    <t>账号</t>
    <phoneticPr fontId="3" type="noConversion"/>
  </si>
  <si>
    <t>男</t>
    <phoneticPr fontId="3" type="noConversion"/>
  </si>
  <si>
    <t>6210103948484052334134</t>
    <phoneticPr fontId="3" type="noConversion"/>
  </si>
  <si>
    <t>6234525892859284952345</t>
    <phoneticPr fontId="3" type="noConversion"/>
  </si>
  <si>
    <t>女</t>
    <phoneticPr fontId="3" type="noConversion"/>
  </si>
  <si>
    <t>3452345934529452345233</t>
    <phoneticPr fontId="3" type="noConversion"/>
  </si>
  <si>
    <t>3452345234246245245232</t>
    <phoneticPr fontId="3" type="noConversion"/>
  </si>
  <si>
    <t>1203102049134134123402</t>
    <phoneticPr fontId="3" type="noConversion"/>
  </si>
  <si>
    <t>3040123840235324523452</t>
    <phoneticPr fontId="3" type="noConversion"/>
  </si>
  <si>
    <t>5223985092052352453662</t>
    <phoneticPr fontId="3" type="noConversion"/>
  </si>
  <si>
    <t>8059352452463490920983</t>
    <phoneticPr fontId="3" type="noConversion"/>
  </si>
  <si>
    <t>3093957925879898092352</t>
    <phoneticPr fontId="3" type="noConversion"/>
  </si>
  <si>
    <t>3898925790230945853245</t>
    <phoneticPr fontId="3" type="noConversion"/>
  </si>
  <si>
    <t>2348058290385092809580</t>
    <phoneticPr fontId="3" type="noConversion"/>
  </si>
  <si>
    <t>4520452452453452345234</t>
    <phoneticPr fontId="3" type="noConversion"/>
  </si>
  <si>
    <t>3459280524352452345245</t>
    <phoneticPr fontId="3" type="noConversion"/>
  </si>
  <si>
    <t>6345125234492843523455</t>
    <phoneticPr fontId="3" type="noConversion"/>
  </si>
  <si>
    <t>34528029430871239875923</t>
    <phoneticPr fontId="3" type="noConversion"/>
  </si>
  <si>
    <t>34346345634573500823904</t>
    <phoneticPr fontId="3" type="noConversion"/>
  </si>
  <si>
    <t>30491238957283523509840</t>
    <phoneticPr fontId="3" type="noConversion"/>
  </si>
  <si>
    <t>62983409127350970597023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</si>
</sst>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黑体"/>
      <family val="2"/>
      <charset val="134"/>
    </font>
    <font>
      <sz val="9"/>
      <name val="黑体"/>
      <family val="2"/>
      <charset val="134"/>
    </font>
    <font>
      <sz val="16"/>
      <color theme="1" tint="0.249977111117893"/>
      <name val="黑体"/>
      <family val="3"/>
      <charset val="134"/>
    </font>
    <font>
      <sz val="9"/>
      <name val="等线"/>
      <family val="2"/>
      <charset val="134"/>
      <scheme val="minor"/>
    </font>
    <font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2AC1-FE17-4C69-8A15-BC2929D47B7D}">
  <dimension ref="B1:F5"/>
  <sheetViews>
    <sheetView workbookViewId="0">
      <selection activeCell="H4" sqref="H4"/>
    </sheetView>
  </sheetViews>
  <sheetFormatPr defaultRowHeight="14.4" x14ac:dyDescent="0.25"/>
  <sheetData>
    <row r="1" spans="2:6" ht="20.399999999999999" x14ac:dyDescent="0.25">
      <c r="B1" s="1" t="s">
        <v>0</v>
      </c>
      <c r="C1" s="1">
        <v>1</v>
      </c>
      <c r="D1" s="1"/>
      <c r="E1" s="1" t="s">
        <v>1</v>
      </c>
      <c r="F1">
        <f>VLOOKUP($E1,$B$1:$C$5,2,0)</f>
        <v>2</v>
      </c>
    </row>
    <row r="2" spans="2:6" ht="20.399999999999999" x14ac:dyDescent="0.25">
      <c r="B2" s="2" t="s">
        <v>1</v>
      </c>
      <c r="C2" s="1">
        <v>2</v>
      </c>
      <c r="D2" s="1"/>
      <c r="E2" s="1" t="s">
        <v>2</v>
      </c>
      <c r="F2">
        <f t="shared" ref="F2:F5" si="0">VLOOKUP($E2,$B$1:$C$5,2,0)</f>
        <v>4</v>
      </c>
    </row>
    <row r="3" spans="2:6" ht="20.399999999999999" x14ac:dyDescent="0.25">
      <c r="B3" s="2" t="s">
        <v>3</v>
      </c>
      <c r="C3" s="1">
        <v>3</v>
      </c>
      <c r="D3" s="1"/>
      <c r="E3" s="1" t="s">
        <v>0</v>
      </c>
      <c r="F3">
        <f t="shared" si="0"/>
        <v>1</v>
      </c>
    </row>
    <row r="4" spans="2:6" ht="20.399999999999999" x14ac:dyDescent="0.25">
      <c r="B4" s="2" t="s">
        <v>2</v>
      </c>
      <c r="C4" s="1">
        <v>4</v>
      </c>
      <c r="D4" s="1"/>
      <c r="E4" s="1" t="s">
        <v>3</v>
      </c>
      <c r="F4">
        <f t="shared" si="0"/>
        <v>3</v>
      </c>
    </row>
    <row r="5" spans="2:6" ht="20.399999999999999" x14ac:dyDescent="0.25">
      <c r="B5" s="2" t="s">
        <v>4</v>
      </c>
      <c r="C5" s="1">
        <v>5</v>
      </c>
      <c r="D5" s="1"/>
      <c r="E5" s="1" t="s">
        <v>4</v>
      </c>
      <c r="F5">
        <f t="shared" si="0"/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9888-DABF-4DA8-851F-296E06E74306}">
  <dimension ref="A1:E19"/>
  <sheetViews>
    <sheetView workbookViewId="0">
      <selection activeCell="K20" sqref="K20"/>
    </sheetView>
  </sheetViews>
  <sheetFormatPr defaultRowHeight="14.4" x14ac:dyDescent="0.25"/>
  <cols>
    <col min="5" max="5" width="27.33203125" customWidth="1"/>
  </cols>
  <sheetData>
    <row r="1" spans="1:5" x14ac:dyDescent="0.25">
      <c r="A1" s="3" t="s">
        <v>5</v>
      </c>
      <c r="B1" s="4" t="s">
        <v>6</v>
      </c>
      <c r="C1" s="4" t="s">
        <v>7</v>
      </c>
      <c r="D1" s="4" t="s">
        <v>8</v>
      </c>
      <c r="E1" s="5" t="s">
        <v>9</v>
      </c>
    </row>
    <row r="2" spans="1:5" x14ac:dyDescent="0.25">
      <c r="A2" s="6">
        <v>1</v>
      </c>
      <c r="B2" s="6" t="s">
        <v>10</v>
      </c>
      <c r="C2" s="6" t="s">
        <v>11</v>
      </c>
      <c r="D2" s="6">
        <v>2000</v>
      </c>
      <c r="E2" s="6" t="str">
        <f>VLOOKUP($C2,员工银行账号!$C$2:$D$19,2,0)</f>
        <v>6210103948484052334134</v>
      </c>
    </row>
    <row r="3" spans="1:5" x14ac:dyDescent="0.25">
      <c r="A3" s="6">
        <v>2</v>
      </c>
      <c r="B3" s="6" t="s">
        <v>10</v>
      </c>
      <c r="C3" s="6" t="s">
        <v>12</v>
      </c>
      <c r="D3" s="6">
        <v>2000</v>
      </c>
      <c r="E3" s="6" t="str">
        <f>VLOOKUP($C3,员工银行账号!$C$2:$D$19,2,0)</f>
        <v>6234525892859284952345</v>
      </c>
    </row>
    <row r="4" spans="1:5" x14ac:dyDescent="0.25">
      <c r="A4" s="6">
        <v>3</v>
      </c>
      <c r="B4" s="6" t="s">
        <v>10</v>
      </c>
      <c r="C4" s="6" t="s">
        <v>13</v>
      </c>
      <c r="D4" s="6">
        <v>2000</v>
      </c>
      <c r="E4" s="6" t="str">
        <f>VLOOKUP($C4,员工银行账号!$C$2:$D$19,2,0)</f>
        <v>3452345934529452345233</v>
      </c>
    </row>
    <row r="5" spans="1:5" x14ac:dyDescent="0.25">
      <c r="A5" s="6">
        <v>4</v>
      </c>
      <c r="B5" s="6" t="s">
        <v>10</v>
      </c>
      <c r="C5" s="6" t="s">
        <v>14</v>
      </c>
      <c r="D5" s="6">
        <v>2000</v>
      </c>
      <c r="E5" s="6" t="str">
        <f>VLOOKUP($C5,员工银行账号!$C$2:$D$19,2,0)</f>
        <v>3452345234246245245232</v>
      </c>
    </row>
    <row r="6" spans="1:5" x14ac:dyDescent="0.25">
      <c r="A6" s="6">
        <v>5</v>
      </c>
      <c r="B6" s="6" t="s">
        <v>10</v>
      </c>
      <c r="C6" s="6" t="s">
        <v>15</v>
      </c>
      <c r="D6" s="6">
        <v>2000</v>
      </c>
      <c r="E6" s="6" t="str">
        <f>VLOOKUP($C6,员工银行账号!$C$2:$D$19,2,0)</f>
        <v>1203102049134134123402</v>
      </c>
    </row>
    <row r="7" spans="1:5" x14ac:dyDescent="0.25">
      <c r="A7" s="6">
        <v>6</v>
      </c>
      <c r="B7" s="6" t="s">
        <v>10</v>
      </c>
      <c r="C7" s="6" t="s">
        <v>16</v>
      </c>
      <c r="D7" s="6">
        <v>2000</v>
      </c>
      <c r="E7" s="6" t="str">
        <f>VLOOKUP($C7,员工银行账号!$C$2:$D$19,2,0)</f>
        <v>3040123840235324523452</v>
      </c>
    </row>
    <row r="8" spans="1:5" x14ac:dyDescent="0.25">
      <c r="A8" s="6">
        <v>7</v>
      </c>
      <c r="B8" s="6" t="s">
        <v>10</v>
      </c>
      <c r="C8" s="6" t="s">
        <v>17</v>
      </c>
      <c r="D8" s="6">
        <v>2000</v>
      </c>
      <c r="E8" s="6" t="str">
        <f>VLOOKUP($C8,员工银行账号!$C$2:$D$19,2,0)</f>
        <v>5223985092052352453662</v>
      </c>
    </row>
    <row r="9" spans="1:5" x14ac:dyDescent="0.25">
      <c r="A9" s="6">
        <v>8</v>
      </c>
      <c r="B9" s="6" t="s">
        <v>10</v>
      </c>
      <c r="C9" s="6" t="s">
        <v>18</v>
      </c>
      <c r="D9" s="6">
        <v>2000</v>
      </c>
      <c r="E9" s="6" t="str">
        <f>VLOOKUP($C9,员工银行账号!$C$2:$D$19,2,0)</f>
        <v>8059352452463490920983</v>
      </c>
    </row>
    <row r="10" spans="1:5" x14ac:dyDescent="0.25">
      <c r="A10" s="6">
        <v>9</v>
      </c>
      <c r="B10" s="6" t="s">
        <v>19</v>
      </c>
      <c r="C10" s="6" t="s">
        <v>20</v>
      </c>
      <c r="D10" s="6">
        <v>3000</v>
      </c>
      <c r="E10" s="6" t="str">
        <f>VLOOKUP($C10,员工银行账号!$C$2:$D$19,2,0)</f>
        <v>62983409127350970597023</v>
      </c>
    </row>
    <row r="11" spans="1:5" x14ac:dyDescent="0.25">
      <c r="A11" s="6">
        <v>10</v>
      </c>
      <c r="B11" s="6" t="s">
        <v>19</v>
      </c>
      <c r="C11" s="6" t="s">
        <v>21</v>
      </c>
      <c r="D11" s="6">
        <v>3000</v>
      </c>
      <c r="E11" s="6" t="str">
        <f>VLOOKUP($C11,员工银行账号!$C$2:$D$19,2,0)</f>
        <v>3459280524352452345245</v>
      </c>
    </row>
    <row r="12" spans="1:5" x14ac:dyDescent="0.25">
      <c r="A12" s="6">
        <v>11</v>
      </c>
      <c r="B12" s="6" t="s">
        <v>19</v>
      </c>
      <c r="C12" s="6" t="s">
        <v>22</v>
      </c>
      <c r="D12" s="6">
        <v>3000</v>
      </c>
      <c r="E12" s="6" t="str">
        <f>VLOOKUP($C12,员工银行账号!$C$2:$D$19,2,0)</f>
        <v>6345125234492843523455</v>
      </c>
    </row>
    <row r="13" spans="1:5" x14ac:dyDescent="0.25">
      <c r="A13" s="6">
        <v>12</v>
      </c>
      <c r="B13" s="6" t="s">
        <v>19</v>
      </c>
      <c r="C13" s="6" t="s">
        <v>23</v>
      </c>
      <c r="D13" s="6">
        <v>3000</v>
      </c>
      <c r="E13" s="6" t="str">
        <f>VLOOKUP($C13,员工银行账号!$C$2:$D$19,2,0)</f>
        <v>34528029430871239875923</v>
      </c>
    </row>
    <row r="14" spans="1:5" x14ac:dyDescent="0.25">
      <c r="A14" s="6">
        <v>13</v>
      </c>
      <c r="B14" s="6" t="s">
        <v>19</v>
      </c>
      <c r="C14" s="6" t="s">
        <v>24</v>
      </c>
      <c r="D14" s="6">
        <v>3000</v>
      </c>
      <c r="E14" s="6" t="str">
        <f>VLOOKUP($C14,员工银行账号!$C$2:$D$19,2,0)</f>
        <v>34346345634573500823904</v>
      </c>
    </row>
    <row r="15" spans="1:5" x14ac:dyDescent="0.25">
      <c r="A15" s="6">
        <v>14</v>
      </c>
      <c r="B15" s="6" t="s">
        <v>19</v>
      </c>
      <c r="C15" s="6" t="s">
        <v>25</v>
      </c>
      <c r="D15" s="6">
        <v>3000</v>
      </c>
      <c r="E15" s="6" t="str">
        <f>VLOOKUP($C15,员工银行账号!$C$2:$D$19,2,0)</f>
        <v>30491238957283523509840</v>
      </c>
    </row>
    <row r="16" spans="1:5" x14ac:dyDescent="0.25">
      <c r="A16" s="6">
        <v>15</v>
      </c>
      <c r="B16" s="6" t="s">
        <v>19</v>
      </c>
      <c r="C16" s="6" t="s">
        <v>26</v>
      </c>
      <c r="D16" s="6">
        <v>3000</v>
      </c>
      <c r="E16" s="6" t="str">
        <f>VLOOKUP($C16,员工银行账号!$C$2:$D$19,2,0)</f>
        <v>3093957925879898092352</v>
      </c>
    </row>
    <row r="17" spans="1:5" x14ac:dyDescent="0.25">
      <c r="A17" s="6">
        <v>16</v>
      </c>
      <c r="B17" s="6" t="s">
        <v>27</v>
      </c>
      <c r="C17" s="6" t="s">
        <v>28</v>
      </c>
      <c r="D17" s="6">
        <v>1000</v>
      </c>
      <c r="E17" s="6" t="str">
        <f>VLOOKUP($C17,员工银行账号!$C$2:$D$19,2,0)</f>
        <v>3898925790230945853245</v>
      </c>
    </row>
    <row r="18" spans="1:5" x14ac:dyDescent="0.25">
      <c r="A18" s="6">
        <v>17</v>
      </c>
      <c r="B18" s="6" t="s">
        <v>27</v>
      </c>
      <c r="C18" s="6" t="s">
        <v>29</v>
      </c>
      <c r="D18" s="6">
        <v>1000</v>
      </c>
      <c r="E18" s="6" t="str">
        <f>VLOOKUP($C18,员工银行账号!$C$2:$D$19,2,0)</f>
        <v>2348058290385092809580</v>
      </c>
    </row>
    <row r="19" spans="1:5" x14ac:dyDescent="0.25">
      <c r="A19" s="6">
        <v>18</v>
      </c>
      <c r="B19" s="6" t="s">
        <v>27</v>
      </c>
      <c r="C19" s="6" t="s">
        <v>30</v>
      </c>
      <c r="D19" s="6">
        <v>1000</v>
      </c>
      <c r="E19" s="6" t="str">
        <f>VLOOKUP($C19,员工银行账号!$C$2:$D$19,2,0)</f>
        <v>4520452452453452345234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2552-941F-47C8-9937-BD931B6D58C5}">
  <dimension ref="A1:D19"/>
  <sheetViews>
    <sheetView tabSelected="1" workbookViewId="0">
      <selection activeCell="G18" sqref="G18"/>
    </sheetView>
  </sheetViews>
  <sheetFormatPr defaultRowHeight="14.4" x14ac:dyDescent="0.25"/>
  <cols>
    <col min="3" max="3" width="22.77734375" customWidth="1"/>
    <col min="4" max="4" width="28.5546875" customWidth="1"/>
  </cols>
  <sheetData>
    <row r="1" spans="1:4" x14ac:dyDescent="0.25">
      <c r="A1" s="3" t="s">
        <v>5</v>
      </c>
      <c r="B1" s="4" t="s">
        <v>31</v>
      </c>
      <c r="C1" s="4" t="s">
        <v>7</v>
      </c>
      <c r="D1" s="4" t="s">
        <v>32</v>
      </c>
    </row>
    <row r="2" spans="1:4" x14ac:dyDescent="0.25">
      <c r="A2" s="6">
        <v>1</v>
      </c>
      <c r="B2" s="6" t="s">
        <v>33</v>
      </c>
      <c r="C2" s="6" t="s">
        <v>11</v>
      </c>
      <c r="D2" s="7" t="s">
        <v>34</v>
      </c>
    </row>
    <row r="3" spans="1:4" x14ac:dyDescent="0.25">
      <c r="A3" s="6">
        <v>2</v>
      </c>
      <c r="B3" s="6" t="s">
        <v>33</v>
      </c>
      <c r="C3" s="6" t="s">
        <v>12</v>
      </c>
      <c r="D3" s="7" t="s">
        <v>35</v>
      </c>
    </row>
    <row r="4" spans="1:4" x14ac:dyDescent="0.25">
      <c r="A4" s="6">
        <v>3</v>
      </c>
      <c r="B4" s="6" t="s">
        <v>36</v>
      </c>
      <c r="C4" s="6" t="s">
        <v>13</v>
      </c>
      <c r="D4" s="7" t="s">
        <v>37</v>
      </c>
    </row>
    <row r="5" spans="1:4" x14ac:dyDescent="0.25">
      <c r="A5" s="6">
        <v>4</v>
      </c>
      <c r="B5" s="6" t="s">
        <v>36</v>
      </c>
      <c r="C5" s="6" t="s">
        <v>14</v>
      </c>
      <c r="D5" s="7" t="s">
        <v>38</v>
      </c>
    </row>
    <row r="6" spans="1:4" x14ac:dyDescent="0.25">
      <c r="A6" s="6">
        <v>5</v>
      </c>
      <c r="B6" s="6" t="s">
        <v>36</v>
      </c>
      <c r="C6" s="6" t="s">
        <v>15</v>
      </c>
      <c r="D6" s="7" t="s">
        <v>39</v>
      </c>
    </row>
    <row r="7" spans="1:4" x14ac:dyDescent="0.25">
      <c r="A7" s="6">
        <v>6</v>
      </c>
      <c r="B7" s="6" t="s">
        <v>33</v>
      </c>
      <c r="C7" s="6" t="s">
        <v>16</v>
      </c>
      <c r="D7" s="7" t="s">
        <v>40</v>
      </c>
    </row>
    <row r="8" spans="1:4" x14ac:dyDescent="0.25">
      <c r="A8" s="6">
        <v>7</v>
      </c>
      <c r="B8" s="6" t="s">
        <v>36</v>
      </c>
      <c r="C8" s="6" t="s">
        <v>17</v>
      </c>
      <c r="D8" s="7" t="s">
        <v>41</v>
      </c>
    </row>
    <row r="9" spans="1:4" x14ac:dyDescent="0.25">
      <c r="A9" s="6">
        <v>8</v>
      </c>
      <c r="B9" s="6" t="s">
        <v>33</v>
      </c>
      <c r="C9" s="6" t="s">
        <v>18</v>
      </c>
      <c r="D9" s="7" t="s">
        <v>42</v>
      </c>
    </row>
    <row r="10" spans="1:4" x14ac:dyDescent="0.25">
      <c r="A10" s="6">
        <v>9</v>
      </c>
      <c r="B10" s="6" t="s">
        <v>33</v>
      </c>
      <c r="C10" s="6" t="s">
        <v>26</v>
      </c>
      <c r="D10" s="7" t="s">
        <v>43</v>
      </c>
    </row>
    <row r="11" spans="1:4" x14ac:dyDescent="0.25">
      <c r="A11" s="6">
        <v>10</v>
      </c>
      <c r="B11" s="6" t="s">
        <v>36</v>
      </c>
      <c r="C11" s="6" t="s">
        <v>28</v>
      </c>
      <c r="D11" s="7" t="s">
        <v>44</v>
      </c>
    </row>
    <row r="12" spans="1:4" x14ac:dyDescent="0.25">
      <c r="A12" s="6">
        <v>11</v>
      </c>
      <c r="B12" s="6" t="s">
        <v>33</v>
      </c>
      <c r="C12" s="6" t="s">
        <v>29</v>
      </c>
      <c r="D12" s="7" t="s">
        <v>45</v>
      </c>
    </row>
    <row r="13" spans="1:4" x14ac:dyDescent="0.25">
      <c r="A13" s="6">
        <v>12</v>
      </c>
      <c r="B13" s="6" t="s">
        <v>36</v>
      </c>
      <c r="C13" s="6" t="s">
        <v>30</v>
      </c>
      <c r="D13" s="7" t="s">
        <v>46</v>
      </c>
    </row>
    <row r="14" spans="1:4" x14ac:dyDescent="0.25">
      <c r="A14" s="6">
        <v>13</v>
      </c>
      <c r="B14" s="6" t="s">
        <v>33</v>
      </c>
      <c r="C14" s="6" t="s">
        <v>21</v>
      </c>
      <c r="D14" s="7" t="s">
        <v>47</v>
      </c>
    </row>
    <row r="15" spans="1:4" x14ac:dyDescent="0.25">
      <c r="A15" s="6">
        <v>14</v>
      </c>
      <c r="B15" s="6" t="s">
        <v>33</v>
      </c>
      <c r="C15" s="6" t="s">
        <v>22</v>
      </c>
      <c r="D15" s="7" t="s">
        <v>48</v>
      </c>
    </row>
    <row r="16" spans="1:4" x14ac:dyDescent="0.25">
      <c r="A16" s="6">
        <v>15</v>
      </c>
      <c r="B16" s="6" t="s">
        <v>33</v>
      </c>
      <c r="C16" s="6" t="s">
        <v>23</v>
      </c>
      <c r="D16" s="7" t="s">
        <v>49</v>
      </c>
    </row>
    <row r="17" spans="1:4" x14ac:dyDescent="0.25">
      <c r="A17" s="6">
        <v>16</v>
      </c>
      <c r="B17" s="6" t="s">
        <v>33</v>
      </c>
      <c r="C17" s="6" t="s">
        <v>24</v>
      </c>
      <c r="D17" s="7" t="s">
        <v>50</v>
      </c>
    </row>
    <row r="18" spans="1:4" x14ac:dyDescent="0.25">
      <c r="A18" s="6">
        <v>17</v>
      </c>
      <c r="B18" s="6" t="s">
        <v>33</v>
      </c>
      <c r="C18" s="6" t="s">
        <v>25</v>
      </c>
      <c r="D18" s="7" t="s">
        <v>51</v>
      </c>
    </row>
    <row r="19" spans="1:4" x14ac:dyDescent="0.25">
      <c r="A19" s="6">
        <v>18</v>
      </c>
      <c r="B19" s="6" t="s">
        <v>33</v>
      </c>
      <c r="C19" s="6" t="s">
        <v>20</v>
      </c>
      <c r="D19" s="7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简单版</vt:lpstr>
      <vt:lpstr>津贴发放</vt:lpstr>
      <vt:lpstr>员工银行账号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世昌 邵</cp:lastModifiedBy>
  <dcterms:created xsi:type="dcterms:W3CDTF">2018-10-09T01:49:39Z</dcterms:created>
  <dcterms:modified xsi:type="dcterms:W3CDTF">2024-10-27T11:39:18Z</dcterms:modified>
</cp:coreProperties>
</file>