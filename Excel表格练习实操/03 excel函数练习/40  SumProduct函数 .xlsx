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44381389-D20D-4CAF-8449-E9BFFA316D6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练习题1" sheetId="1" r:id="rId1"/>
    <sheet name="练习题2" sheetId="2" r:id="rId2"/>
    <sheet name="练习题3" sheetId="3" r:id="rId3"/>
    <sheet name="练习题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4" l="1"/>
  <c r="F10" i="4"/>
  <c r="F3" i="4"/>
  <c r="F4" i="4"/>
  <c r="F5" i="4"/>
  <c r="F6" i="4"/>
  <c r="F7" i="4"/>
  <c r="F8" i="4"/>
  <c r="F9" i="4"/>
  <c r="F2" i="4"/>
  <c r="D3" i="4" a="1"/>
  <c r="D3" i="4" s="1"/>
  <c r="D4" i="4" a="1"/>
  <c r="D4" i="4" s="1"/>
  <c r="D5" i="4" a="1"/>
  <c r="D5" i="4" s="1"/>
  <c r="D6" i="4" a="1"/>
  <c r="D6" i="4"/>
  <c r="D7" i="4" a="1"/>
  <c r="D7" i="4"/>
  <c r="D8" i="4" a="1"/>
  <c r="D8" i="4"/>
  <c r="D9" i="4" a="1"/>
  <c r="D9" i="4"/>
  <c r="D2" i="4" a="1"/>
  <c r="D2" i="4"/>
  <c r="C2" i="4" a="1"/>
  <c r="C2" i="4" s="1"/>
  <c r="C3" i="4" a="1"/>
  <c r="C3" i="4" s="1"/>
  <c r="C4" i="4" a="1"/>
  <c r="C4" i="4"/>
  <c r="C5" i="4" a="1"/>
  <c r="C5" i="4"/>
  <c r="C6" i="4" a="1"/>
  <c r="C6" i="4" s="1"/>
  <c r="C7" i="4" a="1"/>
  <c r="C7" i="4"/>
  <c r="C8" i="4" a="1"/>
  <c r="C8" i="4"/>
  <c r="C9" i="4" a="1"/>
  <c r="C9" i="4"/>
  <c r="G3" i="3" a="1"/>
  <c r="G3" i="3"/>
  <c r="H3" i="3" a="1"/>
  <c r="H3" i="3" s="1"/>
  <c r="I3" i="3" a="1"/>
  <c r="I3" i="3" s="1"/>
  <c r="G4" i="3" a="1"/>
  <c r="G4" i="3"/>
  <c r="H4" i="3" a="1"/>
  <c r="H4" i="3"/>
  <c r="I4" i="3" a="1"/>
  <c r="I4" i="3" s="1"/>
  <c r="H2" i="3" a="1"/>
  <c r="H2" i="3" s="1"/>
  <c r="I2" i="3" a="1"/>
  <c r="I2" i="3" s="1"/>
  <c r="G2" i="3" a="1"/>
  <c r="G2" i="3" s="1"/>
  <c r="L4" i="2" a="1"/>
  <c r="L4" i="2" s="1"/>
  <c r="E7" i="2"/>
  <c r="E3" i="2"/>
  <c r="E4" i="2"/>
  <c r="E5" i="2"/>
  <c r="E6" i="2"/>
  <c r="E2" i="2"/>
  <c r="L3" i="2" a="1"/>
  <c r="L3" i="2" s="1"/>
  <c r="L2" i="2" a="1"/>
  <c r="L2" i="2" s="1"/>
  <c r="D6" i="1"/>
  <c r="D7" i="1"/>
  <c r="D3" i="1"/>
  <c r="D4" i="1"/>
  <c r="D5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<sst xmlns="http://schemas.openxmlformats.org/spreadsheetml/2006/main" count="78" uniqueCount="53">
  <si>
    <t>品名</t>
    <phoneticPr fontId="1" type="noConversion"/>
  </si>
  <si>
    <t>单价</t>
    <phoneticPr fontId="1" type="noConversion"/>
  </si>
  <si>
    <t>数量</t>
    <phoneticPr fontId="1" type="noConversion"/>
  </si>
  <si>
    <t>苹果</t>
    <phoneticPr fontId="1" type="noConversion"/>
  </si>
  <si>
    <t>梨</t>
    <phoneticPr fontId="1" type="noConversion"/>
  </si>
  <si>
    <t>香蕉</t>
    <phoneticPr fontId="1" type="noConversion"/>
  </si>
  <si>
    <t>火龙果</t>
    <phoneticPr fontId="1" type="noConversion"/>
  </si>
  <si>
    <t>金额</t>
    <phoneticPr fontId="1" type="noConversion"/>
  </si>
  <si>
    <t>总计</t>
    <phoneticPr fontId="1" type="noConversion"/>
  </si>
  <si>
    <t>问题1</t>
    <phoneticPr fontId="1" type="noConversion"/>
  </si>
  <si>
    <t>单价超过5元的水果有几种？</t>
    <phoneticPr fontId="1" type="noConversion"/>
  </si>
  <si>
    <t>问题2</t>
  </si>
  <si>
    <t>问题3</t>
  </si>
  <si>
    <t>类别</t>
    <phoneticPr fontId="1" type="noConversion"/>
  </si>
  <si>
    <t>A类</t>
    <phoneticPr fontId="1" type="noConversion"/>
  </si>
  <si>
    <t>B类</t>
    <phoneticPr fontId="1" type="noConversion"/>
  </si>
  <si>
    <t>B类</t>
    <phoneticPr fontId="1" type="noConversion"/>
  </si>
  <si>
    <t>青枣</t>
    <phoneticPr fontId="1" type="noConversion"/>
  </si>
  <si>
    <t>单价超过5元的A类水果的总金额是多少？</t>
    <phoneticPr fontId="1" type="noConversion"/>
  </si>
  <si>
    <t>解答1</t>
    <phoneticPr fontId="1" type="noConversion"/>
  </si>
  <si>
    <t>解答2</t>
  </si>
  <si>
    <t>解答3</t>
  </si>
  <si>
    <t>单价超过5元的A类水果有几种？</t>
    <phoneticPr fontId="1" type="noConversion"/>
  </si>
  <si>
    <t>门店</t>
    <phoneticPr fontId="1" type="noConversion"/>
  </si>
  <si>
    <t>月份</t>
    <phoneticPr fontId="1" type="noConversion"/>
  </si>
  <si>
    <t>销售额</t>
    <phoneticPr fontId="1" type="noConversion"/>
  </si>
  <si>
    <t>门店A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</si>
  <si>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</si>
  <si>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</si>
  <si>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</si>
  <si>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门店B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</si>
  <si>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</si>
  <si>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</si>
  <si>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</si>
  <si>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门店C</t>
    <phoneticPr fontId="1" type="noConversion"/>
  </si>
  <si>
    <t>门店A</t>
    <phoneticPr fontId="1" type="noConversion"/>
  </si>
  <si>
    <t>门店</t>
    <phoneticPr fontId="1" type="noConversion"/>
  </si>
  <si>
    <t>提示：用sumproduct函数将左边的一维表转为右边的二维表。</t>
    <phoneticPr fontId="1" type="noConversion"/>
  </si>
  <si>
    <t>姓名</t>
    <phoneticPr fontId="1" type="noConversion"/>
  </si>
  <si>
    <t>成绩</t>
    <phoneticPr fontId="1" type="noConversion"/>
  </si>
  <si>
    <t>沈敏</t>
  </si>
  <si>
    <t>伏程燕</t>
  </si>
  <si>
    <t>沈娇娇</t>
  </si>
  <si>
    <t>敖筠</t>
  </si>
  <si>
    <t>曹宏艳</t>
  </si>
  <si>
    <t>督海燕</t>
  </si>
  <si>
    <t>华莺</t>
  </si>
  <si>
    <t>戚子涵</t>
  </si>
  <si>
    <t>名次</t>
    <phoneticPr fontId="1" type="noConversion"/>
  </si>
  <si>
    <t>提示：用sumprduct求出他们对应的名次。</t>
    <phoneticPr fontId="1" type="noConversion"/>
  </si>
  <si>
    <t>提示:</t>
    <phoneticPr fontId="1" type="noConversion"/>
  </si>
  <si>
    <t>数组参数必须具有相同的维数（数据区域的形状和大小要一致），否则得到错误值 #VALUE!</t>
    <phoneticPr fontId="1" type="noConversion"/>
  </si>
  <si>
    <t>非数值型的数组元素作为 0 处理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</si>
</sst>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E9" sqref="E9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7</v>
      </c>
    </row>
    <row r="2" spans="1:8" x14ac:dyDescent="0.25">
      <c r="A2" s="2" t="s">
        <v>3</v>
      </c>
      <c r="B2" s="2">
        <v>5.5</v>
      </c>
      <c r="C2" s="2">
        <v>20</v>
      </c>
      <c r="D2" s="2">
        <f>B2*C2</f>
        <v>110</v>
      </c>
    </row>
    <row r="3" spans="1:8" x14ac:dyDescent="0.25">
      <c r="A3" s="2" t="s">
        <v>4</v>
      </c>
      <c r="B3" s="2">
        <v>4.5999999999999996</v>
      </c>
      <c r="C3" s="2">
        <v>30</v>
      </c>
      <c r="D3" s="2">
        <f t="shared" ref="D3:D5" si="0">B3*C3</f>
        <v>138</v>
      </c>
    </row>
    <row r="4" spans="1:8" x14ac:dyDescent="0.25">
      <c r="A4" s="2" t="s">
        <v>5</v>
      </c>
      <c r="B4" s="2">
        <v>2.36</v>
      </c>
      <c r="C4" s="2">
        <v>50</v>
      </c>
      <c r="D4" s="2">
        <f t="shared" si="0"/>
        <v>118</v>
      </c>
    </row>
    <row r="5" spans="1:8" x14ac:dyDescent="0.25">
      <c r="A5" s="2" t="s">
        <v>6</v>
      </c>
      <c r="B5" s="2">
        <v>6.88</v>
      </c>
      <c r="C5" s="2">
        <v>10</v>
      </c>
      <c r="D5" s="2">
        <f t="shared" si="0"/>
        <v>68.8</v>
      </c>
    </row>
    <row r="6" spans="1:8" x14ac:dyDescent="0.25">
      <c r="A6" s="4" t="s">
        <v>8</v>
      </c>
      <c r="B6" s="4"/>
      <c r="C6" s="4"/>
      <c r="D6" s="2">
        <f>SUM(D2:D5)</f>
        <v>434.8</v>
      </c>
    </row>
    <row r="7" spans="1:8" x14ac:dyDescent="0.25">
      <c r="D7">
        <f>SUMPRODUCT(B2:B5,C2:C5)</f>
        <v>434.8</v>
      </c>
    </row>
    <row r="11" spans="1:8" x14ac:dyDescent="0.25">
      <c r="G11" t="s">
        <v>50</v>
      </c>
      <c r="H11" t="s">
        <v>52</v>
      </c>
    </row>
    <row r="12" spans="1:8" x14ac:dyDescent="0.25">
      <c r="H12" t="s">
        <v>51</v>
      </c>
    </row>
  </sheetData>
  <mergeCells count="1">
    <mergeCell ref="A6:C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>
      <selection activeCell="M7" sqref="M7"/>
    </sheetView>
  </sheetViews>
  <sheetFormatPr defaultRowHeight="13.8" x14ac:dyDescent="0.25"/>
  <sheetData>
    <row r="1" spans="1:12" x14ac:dyDescent="0.25">
      <c r="A1" s="1" t="s">
        <v>0</v>
      </c>
      <c r="B1" s="1" t="s">
        <v>13</v>
      </c>
      <c r="C1" s="1" t="s">
        <v>1</v>
      </c>
      <c r="D1" s="1" t="s">
        <v>2</v>
      </c>
      <c r="E1" s="1" t="s">
        <v>7</v>
      </c>
    </row>
    <row r="2" spans="1:12" x14ac:dyDescent="0.25">
      <c r="A2" s="2" t="s">
        <v>3</v>
      </c>
      <c r="B2" s="2" t="s">
        <v>14</v>
      </c>
      <c r="C2" s="2">
        <v>5.5</v>
      </c>
      <c r="D2" s="2">
        <v>20</v>
      </c>
      <c r="E2" s="2">
        <f>PRODUCT(C2:D2)</f>
        <v>110</v>
      </c>
      <c r="G2" t="s">
        <v>9</v>
      </c>
      <c r="H2" t="s">
        <v>10</v>
      </c>
      <c r="L2" cm="1">
        <f t="array" ref="L2">SUMPRODUCT((C2:C6&gt;5)*1)</f>
        <v>3</v>
      </c>
    </row>
    <row r="3" spans="1:12" x14ac:dyDescent="0.25">
      <c r="A3" s="2" t="s">
        <v>4</v>
      </c>
      <c r="B3" s="2" t="s">
        <v>15</v>
      </c>
      <c r="C3" s="2">
        <v>5.2</v>
      </c>
      <c r="D3" s="2">
        <v>30</v>
      </c>
      <c r="E3" s="2">
        <f t="shared" ref="E3:E6" si="0">PRODUCT(C3:D3)</f>
        <v>156</v>
      </c>
      <c r="G3" t="s">
        <v>11</v>
      </c>
      <c r="H3" t="s">
        <v>22</v>
      </c>
      <c r="L3" cm="1">
        <f t="array" ref="L3">SUMPRODUCT((C2:C6&gt;5)*(B2:B6=B2)*1)</f>
        <v>2</v>
      </c>
    </row>
    <row r="4" spans="1:12" x14ac:dyDescent="0.25">
      <c r="A4" s="2" t="s">
        <v>5</v>
      </c>
      <c r="B4" s="2" t="s">
        <v>16</v>
      </c>
      <c r="C4" s="2">
        <v>2.36</v>
      </c>
      <c r="D4" s="2">
        <v>50</v>
      </c>
      <c r="E4" s="2">
        <f t="shared" si="0"/>
        <v>118</v>
      </c>
      <c r="G4" t="s">
        <v>12</v>
      </c>
      <c r="H4" t="s">
        <v>18</v>
      </c>
      <c r="L4" cm="1">
        <f t="array" ref="L4">SUMPRODUCT((C2:C6&gt;5)*(B2:B6=B2)*E2:E6)</f>
        <v>178.8</v>
      </c>
    </row>
    <row r="5" spans="1:12" x14ac:dyDescent="0.25">
      <c r="A5" s="2" t="s">
        <v>6</v>
      </c>
      <c r="B5" s="2" t="s">
        <v>14</v>
      </c>
      <c r="C5" s="2">
        <v>6.88</v>
      </c>
      <c r="D5" s="2">
        <v>10</v>
      </c>
      <c r="E5" s="2">
        <f t="shared" si="0"/>
        <v>68.8</v>
      </c>
    </row>
    <row r="6" spans="1:12" x14ac:dyDescent="0.25">
      <c r="A6" s="2" t="s">
        <v>17</v>
      </c>
      <c r="B6" s="2" t="s">
        <v>14</v>
      </c>
      <c r="C6" s="2">
        <v>4.0999999999999996</v>
      </c>
      <c r="D6" s="2">
        <v>15</v>
      </c>
      <c r="E6" s="2">
        <f t="shared" si="0"/>
        <v>61.499999999999993</v>
      </c>
    </row>
    <row r="7" spans="1:12" x14ac:dyDescent="0.25">
      <c r="A7" s="4" t="s">
        <v>8</v>
      </c>
      <c r="B7" s="4"/>
      <c r="C7" s="4"/>
      <c r="D7" s="4"/>
      <c r="E7" s="2">
        <f>SUMPRODUCT(C2:C6,D2:D6)</f>
        <v>514.29999999999995</v>
      </c>
    </row>
    <row r="8" spans="1:12" x14ac:dyDescent="0.25">
      <c r="G8" t="s">
        <v>19</v>
      </c>
    </row>
    <row r="9" spans="1:12" x14ac:dyDescent="0.25">
      <c r="G9" t="s">
        <v>20</v>
      </c>
    </row>
    <row r="10" spans="1:12" x14ac:dyDescent="0.25">
      <c r="G10" t="s">
        <v>21</v>
      </c>
    </row>
  </sheetData>
  <mergeCells count="1">
    <mergeCell ref="A7:D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selection activeCell="K5" sqref="K5"/>
    </sheetView>
  </sheetViews>
  <sheetFormatPr defaultRowHeight="13.8" x14ac:dyDescent="0.25"/>
  <sheetData>
    <row r="1" spans="1:9" x14ac:dyDescent="0.25">
      <c r="A1" s="1" t="s">
        <v>23</v>
      </c>
      <c r="B1" s="1" t="s">
        <v>24</v>
      </c>
      <c r="C1" s="1" t="s">
        <v>25</v>
      </c>
      <c r="F1" s="3" t="s">
        <v>36</v>
      </c>
      <c r="G1" s="3" t="s">
        <v>31</v>
      </c>
      <c r="H1" s="3" t="s">
        <v>32</v>
      </c>
      <c r="I1" s="3" t="s">
        <v>33</v>
      </c>
    </row>
    <row r="2" spans="1:9" x14ac:dyDescent="0.25">
      <c r="A2" s="2" t="s">
        <v>26</v>
      </c>
      <c r="B2" s="2" t="s">
        <v>27</v>
      </c>
      <c r="C2" s="2">
        <v>763</v>
      </c>
      <c r="F2" s="2" t="s">
        <v>35</v>
      </c>
      <c r="G2" s="2" cm="1">
        <f t="array" ref="G2">SUMPRODUCT(($A$2:$A$10=$F2)*($B$2:$B$10=G$1)*$C$2:$C$10)</f>
        <v>763</v>
      </c>
      <c r="H2" s="2" cm="1">
        <f t="array" ref="H2">SUMPRODUCT(($A$2:$A$10=$F2)*($B$2:$B$10=H$1)*$C$2:$C$10)</f>
        <v>734</v>
      </c>
      <c r="I2" s="2" cm="1">
        <f t="array" ref="I2">SUMPRODUCT(($A$2:$A$10=$F2)*($B$2:$B$10=I$1)*$C$2:$C$10)</f>
        <v>581</v>
      </c>
    </row>
    <row r="3" spans="1:9" x14ac:dyDescent="0.25">
      <c r="A3" s="2" t="s">
        <v>26</v>
      </c>
      <c r="B3" s="2" t="s">
        <v>28</v>
      </c>
      <c r="C3" s="2">
        <v>734</v>
      </c>
      <c r="F3" s="2" t="s">
        <v>30</v>
      </c>
      <c r="G3" s="2" cm="1">
        <f t="array" ref="G3">SUMPRODUCT(($A$2:$A$10=$F3)*($B$2:$B$10=G$1)*$C$2:$C$10)</f>
        <v>765</v>
      </c>
      <c r="H3" s="2" cm="1">
        <f t="array" ref="H3">SUMPRODUCT(($A$2:$A$10=$F3)*($B$2:$B$10=H$1)*$C$2:$C$10)</f>
        <v>701</v>
      </c>
      <c r="I3" s="2" cm="1">
        <f t="array" ref="I3">SUMPRODUCT(($A$2:$A$10=$F3)*($B$2:$B$10=I$1)*$C$2:$C$10)</f>
        <v>534</v>
      </c>
    </row>
    <row r="4" spans="1:9" x14ac:dyDescent="0.25">
      <c r="A4" s="2" t="s">
        <v>26</v>
      </c>
      <c r="B4" s="2" t="s">
        <v>29</v>
      </c>
      <c r="C4" s="2">
        <v>581</v>
      </c>
      <c r="F4" s="2" t="s">
        <v>34</v>
      </c>
      <c r="G4" s="2" cm="1">
        <f t="array" ref="G4">SUMPRODUCT(($A$2:$A$10=$F4)*($B$2:$B$10=G$1)*$C$2:$C$10)</f>
        <v>633</v>
      </c>
      <c r="H4" s="2" cm="1">
        <f t="array" ref="H4">SUMPRODUCT(($A$2:$A$10=$F4)*($B$2:$B$10=H$1)*$C$2:$C$10)</f>
        <v>765</v>
      </c>
      <c r="I4" s="2" cm="1">
        <f t="array" ref="I4">SUMPRODUCT(($A$2:$A$10=$F4)*($B$2:$B$10=I$1)*$C$2:$C$10)</f>
        <v>508</v>
      </c>
    </row>
    <row r="5" spans="1:9" x14ac:dyDescent="0.25">
      <c r="A5" s="2" t="s">
        <v>30</v>
      </c>
      <c r="B5" s="2" t="s">
        <v>31</v>
      </c>
      <c r="C5" s="2">
        <v>765</v>
      </c>
    </row>
    <row r="6" spans="1:9" x14ac:dyDescent="0.25">
      <c r="A6" s="2" t="s">
        <v>30</v>
      </c>
      <c r="B6" s="2" t="s">
        <v>32</v>
      </c>
      <c r="C6" s="2">
        <v>701</v>
      </c>
    </row>
    <row r="7" spans="1:9" x14ac:dyDescent="0.25">
      <c r="A7" s="2" t="s">
        <v>30</v>
      </c>
      <c r="B7" s="2" t="s">
        <v>33</v>
      </c>
      <c r="C7" s="2">
        <v>534</v>
      </c>
      <c r="F7" t="s">
        <v>37</v>
      </c>
    </row>
    <row r="8" spans="1:9" x14ac:dyDescent="0.25">
      <c r="A8" s="2" t="s">
        <v>34</v>
      </c>
      <c r="B8" s="2" t="s">
        <v>31</v>
      </c>
      <c r="C8" s="2">
        <v>633</v>
      </c>
    </row>
    <row r="9" spans="1:9" x14ac:dyDescent="0.25">
      <c r="A9" s="2" t="s">
        <v>34</v>
      </c>
      <c r="B9" s="2" t="s">
        <v>32</v>
      </c>
      <c r="C9" s="2">
        <v>765</v>
      </c>
    </row>
    <row r="10" spans="1:9" x14ac:dyDescent="0.25">
      <c r="A10" s="2" t="s">
        <v>34</v>
      </c>
      <c r="B10" s="2" t="s">
        <v>33</v>
      </c>
      <c r="C10" s="2">
        <v>508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tabSelected="1" workbookViewId="0">
      <selection activeCell="H9" sqref="H9"/>
    </sheetView>
  </sheetViews>
  <sheetFormatPr defaultRowHeight="13.8" x14ac:dyDescent="0.25"/>
  <sheetData>
    <row r="1" spans="1:7" x14ac:dyDescent="0.25">
      <c r="A1" s="1" t="s">
        <v>38</v>
      </c>
      <c r="B1" s="1" t="s">
        <v>39</v>
      </c>
      <c r="C1" s="1" t="s">
        <v>48</v>
      </c>
    </row>
    <row r="2" spans="1:7" x14ac:dyDescent="0.25">
      <c r="A2" s="2" t="s">
        <v>40</v>
      </c>
      <c r="B2" s="2">
        <v>65</v>
      </c>
      <c r="C2" s="2" cm="1">
        <f t="array" ref="C2">SUMPRODUCT(($B$2:$B$9&gt;=$B2)*1)</f>
        <v>4</v>
      </c>
      <c r="D2" cm="1">
        <f t="array" ref="D2">SUM(($B$2:$B$9&gt;=$B2)*1)</f>
        <v>4</v>
      </c>
      <c r="F2">
        <f>PRODUCT(B2:D2)</f>
        <v>1040</v>
      </c>
    </row>
    <row r="3" spans="1:7" x14ac:dyDescent="0.25">
      <c r="A3" s="2" t="s">
        <v>41</v>
      </c>
      <c r="B3" s="2">
        <v>64</v>
      </c>
      <c r="C3" s="2" cm="1">
        <f t="array" ref="C3">SUMPRODUCT(($B$2:$B$9&gt;=$B3)*1)</f>
        <v>5</v>
      </c>
      <c r="D3" cm="1">
        <f t="array" ref="D3">SUM(($B$2:$B$9&gt;=$B3)*1)</f>
        <v>5</v>
      </c>
      <c r="F3">
        <f t="shared" ref="F3:F9" si="0">PRODUCT(B3:D3)</f>
        <v>1600</v>
      </c>
    </row>
    <row r="4" spans="1:7" x14ac:dyDescent="0.25">
      <c r="A4" s="2" t="s">
        <v>42</v>
      </c>
      <c r="B4" s="2">
        <v>60</v>
      </c>
      <c r="C4" s="2" cm="1">
        <f t="array" ref="C4">SUMPRODUCT(($B$2:$B$9&gt;=$B4)*1)</f>
        <v>6</v>
      </c>
      <c r="D4" cm="1">
        <f t="array" ref="D4">SUM(($B$2:$B$9&gt;=$B4)*1)</f>
        <v>6</v>
      </c>
      <c r="F4">
        <f t="shared" si="0"/>
        <v>2160</v>
      </c>
    </row>
    <row r="5" spans="1:7" x14ac:dyDescent="0.25">
      <c r="A5" s="2" t="s">
        <v>43</v>
      </c>
      <c r="B5" s="2">
        <v>54</v>
      </c>
      <c r="C5" s="2" cm="1">
        <f t="array" ref="C5">SUMPRODUCT(($B$2:$B$9&gt;=$B5)*1)</f>
        <v>7</v>
      </c>
      <c r="D5" cm="1">
        <f t="array" ref="D5">SUM(($B$2:$B$9&gt;=$B5)*1)</f>
        <v>7</v>
      </c>
      <c r="F5">
        <f t="shared" si="0"/>
        <v>2646</v>
      </c>
    </row>
    <row r="6" spans="1:7" x14ac:dyDescent="0.25">
      <c r="A6" s="2" t="s">
        <v>44</v>
      </c>
      <c r="B6" s="2">
        <v>97</v>
      </c>
      <c r="C6" s="2" cm="1">
        <f t="array" ref="C6">SUMPRODUCT(($B$2:$B$9&gt;=$B6)*1)</f>
        <v>1</v>
      </c>
      <c r="D6" cm="1">
        <f t="array" ref="D6">SUM(($B$2:$B$9&gt;=$B6)*1)</f>
        <v>1</v>
      </c>
      <c r="F6">
        <f t="shared" si="0"/>
        <v>97</v>
      </c>
    </row>
    <row r="7" spans="1:7" x14ac:dyDescent="0.25">
      <c r="A7" s="2" t="s">
        <v>45</v>
      </c>
      <c r="B7" s="2">
        <v>80</v>
      </c>
      <c r="C7" s="2" cm="1">
        <f t="array" ref="C7">SUMPRODUCT(($B$2:$B$9&gt;=$B7)*1)</f>
        <v>3</v>
      </c>
      <c r="D7" cm="1">
        <f t="array" ref="D7">SUM(($B$2:$B$9&gt;=$B7)*1)</f>
        <v>3</v>
      </c>
      <c r="F7">
        <f t="shared" si="0"/>
        <v>720</v>
      </c>
    </row>
    <row r="8" spans="1:7" x14ac:dyDescent="0.25">
      <c r="A8" s="2" t="s">
        <v>46</v>
      </c>
      <c r="B8" s="2">
        <v>51</v>
      </c>
      <c r="C8" s="2" cm="1">
        <f t="array" ref="C8">SUMPRODUCT(($B$2:$B$9&gt;=$B8)*1)</f>
        <v>8</v>
      </c>
      <c r="D8" cm="1">
        <f t="array" ref="D8">SUM(($B$2:$B$9&gt;=$B8)*1)</f>
        <v>8</v>
      </c>
      <c r="F8">
        <f t="shared" si="0"/>
        <v>3264</v>
      </c>
    </row>
    <row r="9" spans="1:7" x14ac:dyDescent="0.25">
      <c r="A9" s="2" t="s">
        <v>47</v>
      </c>
      <c r="B9" s="2">
        <v>80</v>
      </c>
      <c r="C9" s="2" cm="1">
        <f t="array" ref="C9">SUMPRODUCT(($B$2:$B$9&gt;=$B9)*1)</f>
        <v>3</v>
      </c>
      <c r="D9" cm="1">
        <f t="array" ref="D9">SUM(($B$2:$B$9&gt;=$B9)*1)</f>
        <v>3</v>
      </c>
      <c r="F9">
        <f t="shared" si="0"/>
        <v>720</v>
      </c>
    </row>
    <row r="10" spans="1:7" x14ac:dyDescent="0.25">
      <c r="F10">
        <f>SUM(F2:F9)</f>
        <v>12247</v>
      </c>
      <c r="G10">
        <f>SUMPRODUCT(B2:B9,C2:C9,D2:D9)</f>
        <v>12247</v>
      </c>
    </row>
    <row r="11" spans="1:7" x14ac:dyDescent="0.25">
      <c r="A1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练习题1</vt:lpstr>
      <vt:lpstr>练习题2</vt:lpstr>
      <vt:lpstr>练习题3</vt:lpstr>
      <vt:lpstr>练习题4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2024-10-25T13:58:39Z</dcterms:modified>
</cp:coreProperties>
</file>