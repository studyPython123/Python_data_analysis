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A36BF7F5-51A1-4856-996C-2AC4EC1BBC0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练习题1" sheetId="1" r:id="rId1"/>
    <sheet name="练习题2" sheetId="2" r:id="rId2"/>
    <sheet name="练习题3" sheetId="3" r:id="rId3"/>
    <sheet name="练习题4" sheetId="4" r:id="rId4"/>
    <sheet name="练习题5" sheetId="5" r:id="rId5"/>
    <sheet name="练习题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B14" i="5"/>
  <c r="B18" i="3" a="1"/>
  <c r="B18" i="3"/>
  <c r="C18" i="3" a="1"/>
  <c r="C18" i="3" s="1"/>
  <c r="D18" i="3" a="1"/>
  <c r="D18" i="3" s="1"/>
  <c r="E18" i="3" a="1"/>
  <c r="E18" i="3" s="1"/>
  <c r="F18" i="3" a="1"/>
  <c r="F18" i="3"/>
  <c r="B17" i="3" a="1"/>
  <c r="B17" i="3"/>
  <c r="C17" i="3" a="1"/>
  <c r="C17" i="3"/>
  <c r="D17" i="3" a="1"/>
  <c r="D17" i="3" s="1"/>
  <c r="E17" i="3" a="1"/>
  <c r="E17" i="3" s="1"/>
  <c r="F17" i="3" a="1"/>
  <c r="F17" i="3"/>
  <c r="C16" i="3" a="1"/>
  <c r="C16" i="3" s="1"/>
  <c r="D16" i="3" a="1"/>
  <c r="D16" i="3"/>
  <c r="E16" i="3" a="1"/>
  <c r="E16" i="3"/>
  <c r="F16" i="3" a="1"/>
  <c r="F16" i="3" s="1"/>
  <c r="B16" i="3" a="1"/>
  <c r="B16" i="3" s="1"/>
  <c r="B13" i="3"/>
  <c r="C13" i="3"/>
  <c r="D13" i="3"/>
  <c r="E13" i="3"/>
  <c r="F13" i="3"/>
  <c r="B12" i="3"/>
  <c r="C12" i="3"/>
  <c r="D12" i="3"/>
  <c r="E12" i="3"/>
  <c r="F12" i="3"/>
  <c r="C11" i="3"/>
  <c r="D11" i="3"/>
  <c r="E11" i="3"/>
  <c r="F11" i="3"/>
  <c r="B11" i="3"/>
  <c r="H6" i="1" a="1"/>
  <c r="H6" i="1" s="1"/>
  <c r="H5" i="1" a="1"/>
  <c r="H5" i="1" s="1"/>
  <c r="H4" i="1" a="1"/>
  <c r="H4" i="1" s="1"/>
  <c r="H3" i="1" a="1"/>
  <c r="H3" i="1" s="1"/>
  <c r="H2" i="1" a="1"/>
  <c r="H2" i="1" s="1"/>
  <c r="D9" i="1"/>
  <c r="D10" i="1"/>
  <c r="I5" i="2"/>
  <c r="I6" i="2"/>
  <c r="D5" i="2"/>
  <c r="D6" i="2"/>
  <c r="N5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<sst xmlns="http://schemas.openxmlformats.org/spreadsheetml/2006/main" count="126" uniqueCount="86">
  <si>
    <t>语文</t>
    <phoneticPr fontId="1" type="noConversion"/>
  </si>
  <si>
    <t>英语</t>
    <phoneticPr fontId="1" type="noConversion"/>
  </si>
  <si>
    <t>数学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</si>
  <si>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</si>
  <si>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</si>
  <si>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</si>
  <si>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</si>
  <si>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</si>
  <si>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查找对象</t>
    <phoneticPr fontId="1" type="noConversion"/>
  </si>
  <si>
    <t>位置</t>
    <phoneticPr fontId="1" type="noConversion"/>
  </si>
  <si>
    <t>陈六</t>
    <phoneticPr fontId="1" type="noConversion"/>
  </si>
  <si>
    <t>英语</t>
    <phoneticPr fontId="1" type="noConversion"/>
  </si>
  <si>
    <t>姓名</t>
    <phoneticPr fontId="1" type="noConversion"/>
  </si>
  <si>
    <t>学科</t>
    <phoneticPr fontId="1" type="noConversion"/>
  </si>
  <si>
    <t>成绩</t>
    <phoneticPr fontId="1" type="noConversion"/>
  </si>
  <si>
    <t>英语</t>
    <phoneticPr fontId="1" type="noConversion"/>
  </si>
  <si>
    <t>查找对象</t>
    <phoneticPr fontId="1" type="noConversion"/>
  </si>
  <si>
    <t>位置</t>
    <phoneticPr fontId="1" type="noConversion"/>
  </si>
  <si>
    <t>查找方式为0时：</t>
    <phoneticPr fontId="1" type="noConversion"/>
  </si>
  <si>
    <t>查找方式为1时：</t>
    <phoneticPr fontId="1" type="noConversion"/>
  </si>
  <si>
    <t>查找方式为-1时：</t>
    <phoneticPr fontId="1" type="noConversion"/>
  </si>
  <si>
    <t>原数据</t>
    <phoneticPr fontId="1" type="noConversion"/>
  </si>
  <si>
    <t>精确查找，无须排序</t>
    <phoneticPr fontId="1" type="noConversion"/>
  </si>
  <si>
    <t>找不到，就返回错误值</t>
    <phoneticPr fontId="1" type="noConversion"/>
  </si>
  <si>
    <t>模糊查找，升序排序</t>
    <phoneticPr fontId="1" type="noConversion"/>
  </si>
  <si>
    <t>支持通配符</t>
    <phoneticPr fontId="1" type="noConversion"/>
  </si>
  <si>
    <t>找不到，就返回小于查找对象的最大值</t>
    <phoneticPr fontId="1" type="noConversion"/>
  </si>
  <si>
    <t>模糊查找，降序排序</t>
    <phoneticPr fontId="1" type="noConversion"/>
  </si>
  <si>
    <t>找不到，就返回大于查找对象的最小值</t>
    <phoneticPr fontId="1" type="noConversion"/>
  </si>
  <si>
    <t>不支持通配符</t>
    <phoneticPr fontId="1" type="noConversion"/>
  </si>
  <si>
    <t>编号</t>
  </si>
  <si>
    <t>姓名</t>
  </si>
  <si>
    <t>等级工资</t>
  </si>
  <si>
    <t>聘任津贴</t>
  </si>
  <si>
    <t>应发合计</t>
  </si>
  <si>
    <t>公积金</t>
  </si>
  <si>
    <t>医疗保险</t>
  </si>
  <si>
    <t>应扣合计</t>
  </si>
  <si>
    <t>云翠安</t>
  </si>
  <si>
    <t>苏莺</t>
  </si>
  <si>
    <t>童亦寒</t>
  </si>
  <si>
    <t>苗丹</t>
  </si>
  <si>
    <t>秦妙海</t>
  </si>
  <si>
    <t>陈莎</t>
  </si>
  <si>
    <t>实发工资</t>
  </si>
  <si>
    <t>工资表</t>
    <phoneticPr fontId="1" type="noConversion"/>
  </si>
  <si>
    <t>姓名</t>
    <phoneticPr fontId="1" type="noConversion"/>
  </si>
  <si>
    <t>公积金</t>
    <phoneticPr fontId="1" type="noConversion"/>
  </si>
  <si>
    <t>医疗保险</t>
    <phoneticPr fontId="1" type="noConversion"/>
  </si>
  <si>
    <t>等级工资</t>
    <phoneticPr fontId="1" type="noConversion"/>
  </si>
  <si>
    <t>聘任津贴</t>
    <phoneticPr fontId="1" type="noConversion"/>
  </si>
  <si>
    <t>实发工资</t>
    <phoneticPr fontId="1" type="noConversion"/>
  </si>
  <si>
    <t>苗丹</t>
    <phoneticPr fontId="1" type="noConversion"/>
  </si>
  <si>
    <t>解法1：用vlookup+match</t>
    <phoneticPr fontId="1" type="noConversion"/>
  </si>
  <si>
    <t>解法2：用index+match</t>
    <phoneticPr fontId="1" type="noConversion"/>
  </si>
  <si>
    <t>提取字母左侧数字</t>
    <phoneticPr fontId="1" type="noConversion"/>
  </si>
  <si>
    <t>月份</t>
    <phoneticPr fontId="1" type="noConversion"/>
  </si>
  <si>
    <t>营业额</t>
    <phoneticPr fontId="1" type="noConversion"/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</si>
  <si>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</si>
  <si>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</si>
  <si>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</si>
  <si>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</si>
  <si>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</si>
  <si>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</si>
  <si>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</si>
  <si>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</si>
  <si>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</si>
  <si>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</si>
  <si>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</si>
  <si>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</si>
  <si>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找出首次超过平均营业额的月份</t>
    <phoneticPr fontId="1" type="noConversion"/>
  </si>
  <si>
    <t>找出首次超过平均营业额的最大的月份</t>
    <phoneticPr fontId="1" type="noConversion"/>
  </si>
  <si>
    <t>是否重复</t>
    <phoneticPr fontId="1" type="noConversion"/>
  </si>
  <si>
    <t>用match函数查找重复值</t>
    <phoneticPr fontId="1" type="noConversion"/>
  </si>
  <si>
    <t>原数据</t>
  </si>
  <si>
    <t>5451mdk451</t>
  </si>
  <si>
    <t>21djo20</t>
  </si>
  <si>
    <t>848451ku1285</t>
  </si>
  <si>
    <t>623sjim851201</t>
  </si>
  <si>
    <t>解法：用match的模糊查找+left函数实现</t>
  </si>
  <si>
    <t>djo</t>
    <phoneticPr fontId="1" type="noConversion"/>
  </si>
  <si>
    <t>mdk</t>
  </si>
  <si>
    <t>sjim</t>
  </si>
  <si>
    <t>ku</t>
  </si>
  <si>
    <t>原数</t>
  </si>
  <si>
    <t>21djo20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</si>
</sst>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3" borderId="1" xfId="0" applyFill="1" applyBorder="1"/>
    <xf numFmtId="0" fontId="3" fillId="0" borderId="0" xfId="0" applyFont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L6" sqref="L6"/>
    </sheetView>
  </sheetViews>
  <sheetFormatPr defaultRowHeight="13.8" x14ac:dyDescent="0.25"/>
  <sheetData>
    <row r="1" spans="1:8" x14ac:dyDescent="0.25">
      <c r="A1" s="1"/>
      <c r="B1" s="2" t="s">
        <v>2</v>
      </c>
      <c r="C1" s="2" t="s">
        <v>1</v>
      </c>
      <c r="D1" s="2" t="s">
        <v>0</v>
      </c>
      <c r="F1" s="4" t="s">
        <v>12</v>
      </c>
      <c r="G1" s="4" t="s">
        <v>13</v>
      </c>
      <c r="H1" s="4" t="s">
        <v>14</v>
      </c>
    </row>
    <row r="2" spans="1:8" x14ac:dyDescent="0.25">
      <c r="A2" s="1" t="s">
        <v>6</v>
      </c>
      <c r="B2" s="1">
        <v>54</v>
      </c>
      <c r="C2" s="1">
        <v>88</v>
      </c>
      <c r="D2" s="1">
        <v>55</v>
      </c>
      <c r="F2" s="5" t="s">
        <v>6</v>
      </c>
      <c r="G2" s="5" t="s">
        <v>15</v>
      </c>
      <c r="H2" s="5" cm="1">
        <f t="array" ref="H2">INDEX($A$1:$D$6,MATCH($F2,$A$2:$A$6,1)+1,MATCH($G2,$B$1:$D$1,1)+1)</f>
        <v>88</v>
      </c>
    </row>
    <row r="3" spans="1:8" x14ac:dyDescent="0.25">
      <c r="A3" s="1" t="s">
        <v>4</v>
      </c>
      <c r="B3" s="1">
        <v>81</v>
      </c>
      <c r="C3" s="1">
        <v>92</v>
      </c>
      <c r="D3" s="1">
        <v>91</v>
      </c>
      <c r="F3" s="2" t="s">
        <v>5</v>
      </c>
      <c r="G3" s="2" t="s">
        <v>2</v>
      </c>
      <c r="H3" s="5" cm="1">
        <f t="array" ref="H3">INDEX($A$1:$D$6,MATCH($F3,$A$2:$A$6,1)+1,MATCH($G3,$B$1:$D$1,1)+1)</f>
        <v>59</v>
      </c>
    </row>
    <row r="4" spans="1:8" x14ac:dyDescent="0.25">
      <c r="A4" s="1" t="s">
        <v>5</v>
      </c>
      <c r="B4" s="1">
        <v>59</v>
      </c>
      <c r="C4" s="1">
        <v>100</v>
      </c>
      <c r="D4" s="1">
        <v>76</v>
      </c>
      <c r="F4" s="2" t="s">
        <v>7</v>
      </c>
      <c r="G4" s="2" t="s">
        <v>1</v>
      </c>
      <c r="H4" s="5" cm="1">
        <f t="array" ref="H4">INDEX($A$1:$D$6,MATCH($F4,$A$2:$A$6,1)+1,MATCH($G4,$B$1:$D$1,1)+1)</f>
        <v>99</v>
      </c>
    </row>
    <row r="5" spans="1:8" x14ac:dyDescent="0.25">
      <c r="A5" s="1" t="s">
        <v>3</v>
      </c>
      <c r="B5" s="1">
        <v>55</v>
      </c>
      <c r="C5" s="1">
        <v>87</v>
      </c>
      <c r="D5" s="1">
        <v>68</v>
      </c>
      <c r="F5" s="2" t="s">
        <v>6</v>
      </c>
      <c r="G5" s="2" t="s">
        <v>0</v>
      </c>
      <c r="H5" s="5" cm="1">
        <f t="array" ref="H5">INDEX($A$1:$D$6,MATCH($F5,$A$2:$A$6,1)+1,MATCH($G5,$B$1:$D$1,1)+1)</f>
        <v>55</v>
      </c>
    </row>
    <row r="6" spans="1:8" x14ac:dyDescent="0.25">
      <c r="A6" s="1" t="s">
        <v>7</v>
      </c>
      <c r="B6" s="1">
        <v>72</v>
      </c>
      <c r="C6" s="1">
        <v>99</v>
      </c>
      <c r="D6" s="1">
        <v>89</v>
      </c>
      <c r="F6" s="2" t="s">
        <v>5</v>
      </c>
      <c r="G6" s="2" t="s">
        <v>1</v>
      </c>
      <c r="H6" s="5" cm="1">
        <f t="array" ref="H6">INDEX($A$1:$D$6,MATCH($F6,$A$2:$A$6,1)+1,MATCH($G6,$B$1:$D$1,1)+1)</f>
        <v>100</v>
      </c>
    </row>
    <row r="8" spans="1:8" x14ac:dyDescent="0.25">
      <c r="C8" s="3" t="s">
        <v>8</v>
      </c>
      <c r="D8" s="3" t="s">
        <v>9</v>
      </c>
    </row>
    <row r="9" spans="1:8" x14ac:dyDescent="0.25">
      <c r="C9" s="1" t="s">
        <v>10</v>
      </c>
      <c r="D9" s="1">
        <f>MATCH(C9,$A$2:$A$6,1)</f>
        <v>1</v>
      </c>
    </row>
    <row r="10" spans="1:8" x14ac:dyDescent="0.25">
      <c r="C10" s="1" t="s">
        <v>11</v>
      </c>
      <c r="D10" s="1">
        <f>MATCH(C10,$B$1:$D$1,1)</f>
        <v>2</v>
      </c>
    </row>
  </sheetData>
  <sortState xmlns:xlrd2="http://schemas.microsoft.com/office/spreadsheetml/2017/richdata2" columnSort="1" ref="B1:D6">
    <sortCondition ref="B1:D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opLeftCell="C1" zoomScaleNormal="100" workbookViewId="0">
      <selection activeCell="I5" sqref="I5"/>
    </sheetView>
  </sheetViews>
  <sheetFormatPr defaultRowHeight="13.8" x14ac:dyDescent="0.25"/>
  <sheetData>
    <row r="1" spans="1:14" ht="14.4" thickBot="1" x14ac:dyDescent="0.3">
      <c r="A1" t="s">
        <v>21</v>
      </c>
      <c r="F1" t="s">
        <v>21</v>
      </c>
      <c r="K1" t="s">
        <v>21</v>
      </c>
    </row>
    <row r="2" spans="1:14" ht="14.4" thickBot="1" x14ac:dyDescent="0.3">
      <c r="A2" s="6">
        <v>6</v>
      </c>
      <c r="C2" s="8" t="s">
        <v>18</v>
      </c>
      <c r="F2" s="6">
        <v>6</v>
      </c>
      <c r="H2" s="8" t="s">
        <v>19</v>
      </c>
      <c r="K2" s="6">
        <v>89</v>
      </c>
      <c r="M2" s="8" t="s">
        <v>20</v>
      </c>
    </row>
    <row r="3" spans="1:14" ht="14.4" thickBot="1" x14ac:dyDescent="0.3">
      <c r="A3" s="6">
        <v>89</v>
      </c>
      <c r="F3" s="6">
        <v>13</v>
      </c>
      <c r="K3" s="6">
        <v>64</v>
      </c>
    </row>
    <row r="4" spans="1:14" ht="14.4" thickBot="1" x14ac:dyDescent="0.3">
      <c r="A4" s="6">
        <v>13</v>
      </c>
      <c r="C4" s="1" t="s">
        <v>16</v>
      </c>
      <c r="D4" s="1">
        <v>12</v>
      </c>
      <c r="F4" s="6">
        <v>21</v>
      </c>
      <c r="H4" s="1" t="s">
        <v>16</v>
      </c>
      <c r="I4" s="1">
        <v>20</v>
      </c>
      <c r="K4" s="6">
        <v>55</v>
      </c>
      <c r="M4" s="1" t="s">
        <v>16</v>
      </c>
      <c r="N4" s="1">
        <v>50</v>
      </c>
    </row>
    <row r="5" spans="1:14" ht="14.4" thickBot="1" x14ac:dyDescent="0.3">
      <c r="A5" s="6">
        <v>55</v>
      </c>
      <c r="C5" s="1" t="s">
        <v>17</v>
      </c>
      <c r="D5" s="1" t="e">
        <f>MATCH(D4,A2:A8,0)</f>
        <v>#N/A</v>
      </c>
      <c r="F5" s="6">
        <v>33</v>
      </c>
      <c r="H5" s="1" t="s">
        <v>17</v>
      </c>
      <c r="I5" s="1">
        <f>MATCH(I4,F2:F8,1)</f>
        <v>2</v>
      </c>
      <c r="K5" s="6">
        <v>33</v>
      </c>
      <c r="M5" s="1" t="s">
        <v>17</v>
      </c>
      <c r="N5" s="1">
        <f>MATCH(N4,K2:K8,-1)</f>
        <v>3</v>
      </c>
    </row>
    <row r="6" spans="1:14" ht="14.4" thickBot="1" x14ac:dyDescent="0.3">
      <c r="A6" s="6">
        <v>64</v>
      </c>
      <c r="D6" t="e">
        <f>MATCH(D4,A2:A8,)</f>
        <v>#N/A</v>
      </c>
      <c r="F6" s="6">
        <v>55</v>
      </c>
      <c r="I6">
        <f>MATCH(I4,F2:F8)</f>
        <v>2</v>
      </c>
      <c r="K6" s="6">
        <v>21</v>
      </c>
    </row>
    <row r="7" spans="1:14" ht="14.4" thickBot="1" x14ac:dyDescent="0.3">
      <c r="A7" s="6">
        <v>33</v>
      </c>
      <c r="F7" s="6">
        <v>64</v>
      </c>
      <c r="K7" s="6">
        <v>13</v>
      </c>
    </row>
    <row r="8" spans="1:14" ht="14.4" thickBot="1" x14ac:dyDescent="0.3">
      <c r="A8" s="6">
        <v>21</v>
      </c>
      <c r="F8" s="6">
        <v>89</v>
      </c>
      <c r="K8" s="6">
        <v>6</v>
      </c>
    </row>
    <row r="9" spans="1:14" x14ac:dyDescent="0.25">
      <c r="B9" t="s">
        <v>22</v>
      </c>
      <c r="G9" t="s">
        <v>24</v>
      </c>
      <c r="L9" t="s">
        <v>27</v>
      </c>
    </row>
    <row r="10" spans="1:14" x14ac:dyDescent="0.25">
      <c r="B10" t="s">
        <v>23</v>
      </c>
      <c r="G10" t="s">
        <v>26</v>
      </c>
      <c r="L10" t="s">
        <v>28</v>
      </c>
    </row>
    <row r="11" spans="1:14" x14ac:dyDescent="0.25">
      <c r="B11" t="s">
        <v>25</v>
      </c>
      <c r="G11" t="s">
        <v>29</v>
      </c>
      <c r="L11" t="s">
        <v>29</v>
      </c>
    </row>
  </sheetData>
  <sortState xmlns:xlrd2="http://schemas.microsoft.com/office/spreadsheetml/2017/richdata2" ref="K1:K7">
    <sortCondition descending="1" ref="K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B16" sqref="B16"/>
    </sheetView>
  </sheetViews>
  <sheetFormatPr defaultRowHeight="13.8" x14ac:dyDescent="0.25"/>
  <sheetData>
    <row r="1" spans="1:9" ht="20.399999999999999" x14ac:dyDescent="0.35">
      <c r="A1" s="9" t="s">
        <v>45</v>
      </c>
      <c r="B1" s="10"/>
      <c r="C1" s="10"/>
      <c r="D1" s="10"/>
      <c r="E1" s="10"/>
      <c r="F1" s="10"/>
      <c r="G1" s="10"/>
      <c r="H1" s="10"/>
      <c r="I1" s="11"/>
    </row>
    <row r="2" spans="1:9" x14ac:dyDescent="0.25">
      <c r="A2" s="1" t="s">
        <v>30</v>
      </c>
      <c r="B2" s="1" t="s">
        <v>31</v>
      </c>
      <c r="C2" s="1" t="s">
        <v>32</v>
      </c>
      <c r="D2" s="1" t="s">
        <v>35</v>
      </c>
      <c r="E2" s="1" t="s">
        <v>33</v>
      </c>
      <c r="F2" s="1" t="s">
        <v>44</v>
      </c>
      <c r="G2" s="1" t="s">
        <v>36</v>
      </c>
      <c r="H2" s="1" t="s">
        <v>34</v>
      </c>
      <c r="I2" s="1" t="s">
        <v>37</v>
      </c>
    </row>
    <row r="3" spans="1:9" x14ac:dyDescent="0.25">
      <c r="A3" s="1">
        <v>1001</v>
      </c>
      <c r="B3" s="1" t="s">
        <v>43</v>
      </c>
      <c r="C3" s="1">
        <v>2436</v>
      </c>
      <c r="D3" s="1">
        <v>624</v>
      </c>
      <c r="E3" s="1">
        <v>841</v>
      </c>
      <c r="F3" s="1">
        <v>2463</v>
      </c>
      <c r="G3" s="1">
        <v>190</v>
      </c>
      <c r="H3" s="1">
        <v>3277</v>
      </c>
      <c r="I3" s="1">
        <v>814</v>
      </c>
    </row>
    <row r="4" spans="1:9" x14ac:dyDescent="0.25">
      <c r="A4" s="1">
        <v>1002</v>
      </c>
      <c r="B4" s="1" t="s">
        <v>41</v>
      </c>
      <c r="C4" s="1">
        <v>2931</v>
      </c>
      <c r="D4" s="1">
        <v>338</v>
      </c>
      <c r="E4" s="1">
        <v>637</v>
      </c>
      <c r="F4" s="1">
        <v>3165</v>
      </c>
      <c r="G4" s="1">
        <v>65</v>
      </c>
      <c r="H4" s="1">
        <v>3568</v>
      </c>
      <c r="I4" s="1">
        <v>403</v>
      </c>
    </row>
    <row r="5" spans="1:9" x14ac:dyDescent="0.25">
      <c r="A5" s="1">
        <v>1003</v>
      </c>
      <c r="B5" s="1" t="s">
        <v>42</v>
      </c>
      <c r="C5" s="1">
        <v>3270</v>
      </c>
      <c r="D5" s="1">
        <v>499</v>
      </c>
      <c r="E5" s="1">
        <v>641</v>
      </c>
      <c r="F5" s="1">
        <v>3196</v>
      </c>
      <c r="G5" s="1">
        <v>216</v>
      </c>
      <c r="H5" s="1">
        <v>3911</v>
      </c>
      <c r="I5" s="1">
        <v>715</v>
      </c>
    </row>
    <row r="6" spans="1:9" x14ac:dyDescent="0.25">
      <c r="A6" s="1">
        <v>1004</v>
      </c>
      <c r="B6" s="1" t="s">
        <v>39</v>
      </c>
      <c r="C6" s="1">
        <v>2613</v>
      </c>
      <c r="D6" s="1">
        <v>329</v>
      </c>
      <c r="E6" s="1">
        <v>943</v>
      </c>
      <c r="F6" s="1">
        <v>3043</v>
      </c>
      <c r="G6" s="1">
        <v>184</v>
      </c>
      <c r="H6" s="1">
        <v>3556</v>
      </c>
      <c r="I6" s="1">
        <v>513</v>
      </c>
    </row>
    <row r="7" spans="1:9" x14ac:dyDescent="0.25">
      <c r="A7" s="1">
        <v>1005</v>
      </c>
      <c r="B7" s="1" t="s">
        <v>40</v>
      </c>
      <c r="C7" s="1">
        <v>3339</v>
      </c>
      <c r="D7" s="1">
        <v>441</v>
      </c>
      <c r="E7" s="1">
        <v>642</v>
      </c>
      <c r="F7" s="1">
        <v>3230</v>
      </c>
      <c r="G7" s="1">
        <v>310</v>
      </c>
      <c r="H7" s="1">
        <v>3981</v>
      </c>
      <c r="I7" s="1">
        <v>751</v>
      </c>
    </row>
    <row r="8" spans="1:9" x14ac:dyDescent="0.25">
      <c r="A8" s="1">
        <v>1006</v>
      </c>
      <c r="B8" s="1" t="s">
        <v>38</v>
      </c>
      <c r="C8" s="1">
        <v>2326</v>
      </c>
      <c r="D8" s="1">
        <v>553</v>
      </c>
      <c r="E8" s="1">
        <v>656</v>
      </c>
      <c r="F8" s="1">
        <v>2289</v>
      </c>
      <c r="G8" s="1">
        <v>140</v>
      </c>
      <c r="H8" s="1">
        <v>2982</v>
      </c>
      <c r="I8" s="1">
        <v>693</v>
      </c>
    </row>
    <row r="10" spans="1:9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H10" t="s">
        <v>53</v>
      </c>
    </row>
    <row r="11" spans="1:9" x14ac:dyDescent="0.25">
      <c r="A11" s="2" t="s">
        <v>52</v>
      </c>
      <c r="B11" s="2">
        <f>VLOOKUP($A11,$B$3:$I$8,MATCH(练习题3!B$10,练习题3!$C$2:$I$2,1)+1,0)</f>
        <v>338</v>
      </c>
      <c r="C11" s="2">
        <f>VLOOKUP($A11,$B$3:$I$8,MATCH(练习题3!C$10,练习题3!$C$2:$I$2,1)+1,0)</f>
        <v>65</v>
      </c>
      <c r="D11" s="2">
        <f>VLOOKUP($A11,$B$3:$I$8,MATCH(练习题3!D$10,练习题3!$C$2:$I$2,1)+1,0)</f>
        <v>2931</v>
      </c>
      <c r="E11" s="2">
        <f>VLOOKUP($A11,$B$3:$I$8,MATCH(练习题3!E$10,练习题3!$C$2:$I$2,1)+1,0)</f>
        <v>637</v>
      </c>
      <c r="F11" s="2">
        <f>VLOOKUP($A11,$B$3:$I$8,MATCH(练习题3!F$10,练习题3!$C$2:$I$2,1)+1,0)</f>
        <v>3165</v>
      </c>
      <c r="H11" t="s">
        <v>54</v>
      </c>
    </row>
    <row r="12" spans="1:9" x14ac:dyDescent="0.25">
      <c r="A12" s="2" t="s">
        <v>40</v>
      </c>
      <c r="B12" s="2">
        <f>VLOOKUP($A12,$B$3:$I$8,MATCH(练习题3!B$10,练习题3!$C$2:$I$2,1)+1,0)</f>
        <v>441</v>
      </c>
      <c r="C12" s="2">
        <f>VLOOKUP($A12,$B$3:$I$8,MATCH(练习题3!C$10,练习题3!$C$2:$I$2,1)+1,0)</f>
        <v>310</v>
      </c>
      <c r="D12" s="2">
        <f>VLOOKUP($A12,$B$3:$I$8,MATCH(练习题3!D$10,练习题3!$C$2:$I$2,1)+1,0)</f>
        <v>3339</v>
      </c>
      <c r="E12" s="2">
        <f>VLOOKUP($A12,$B$3:$I$8,MATCH(练习题3!E$10,练习题3!$C$2:$I$2,1)+1,0)</f>
        <v>642</v>
      </c>
      <c r="F12" s="2">
        <f>VLOOKUP($A12,$B$3:$I$8,MATCH(练习题3!F$10,练习题3!$C$2:$I$2,1)+1,0)</f>
        <v>3230</v>
      </c>
    </row>
    <row r="13" spans="1:9" x14ac:dyDescent="0.25">
      <c r="A13" s="2" t="s">
        <v>43</v>
      </c>
      <c r="B13" s="2">
        <f>VLOOKUP($A13,$B$3:$I$8,MATCH(练习题3!B$10,练习题3!$C$2:$I$2,1)+1,0)</f>
        <v>624</v>
      </c>
      <c r="C13" s="2">
        <f>VLOOKUP($A13,$B$3:$I$8,MATCH(练习题3!C$10,练习题3!$C$2:$I$2,1)+1,0)</f>
        <v>190</v>
      </c>
      <c r="D13" s="2">
        <f>VLOOKUP($A13,$B$3:$I$8,MATCH(练习题3!D$10,练习题3!$C$2:$I$2,1)+1,0)</f>
        <v>2436</v>
      </c>
      <c r="E13" s="2">
        <f>VLOOKUP($A13,$B$3:$I$8,MATCH(练习题3!E$10,练习题3!$C$2:$I$2,1)+1,0)</f>
        <v>841</v>
      </c>
      <c r="F13" s="2">
        <f>VLOOKUP($A13,$B$3:$I$8,MATCH(练习题3!F$10,练习题3!$C$2:$I$2,1)+1,0)</f>
        <v>2463</v>
      </c>
    </row>
    <row r="15" spans="1:9" x14ac:dyDescent="0.25">
      <c r="A15" s="2" t="s">
        <v>12</v>
      </c>
      <c r="B15" s="2" t="s">
        <v>47</v>
      </c>
      <c r="C15" s="2" t="s">
        <v>48</v>
      </c>
      <c r="D15" s="2" t="s">
        <v>49</v>
      </c>
      <c r="E15" s="2" t="s">
        <v>50</v>
      </c>
      <c r="F15" s="2" t="s">
        <v>51</v>
      </c>
    </row>
    <row r="16" spans="1:9" x14ac:dyDescent="0.25">
      <c r="A16" s="2" t="s">
        <v>52</v>
      </c>
      <c r="B16" s="2" cm="1">
        <f t="array" ref="B16">INDEX($B$2:$I$8,MATCH($A16,$B$3:$B$8,0)+1,MATCH(B$15,$C$2:$I$2,0)+1)</f>
        <v>338</v>
      </c>
      <c r="C16" s="2" cm="1">
        <f t="array" ref="C16">INDEX($B$2:$I$8,MATCH($A16,$B$3:$B$8,0)+1,MATCH(C$15,$C$2:$I$2,0)+1)</f>
        <v>65</v>
      </c>
      <c r="D16" s="2" cm="1">
        <f t="array" ref="D16">INDEX($B$2:$I$8,MATCH($A16,$B$3:$B$8,0)+1,MATCH(D$15,$C$2:$I$2,0)+1)</f>
        <v>2931</v>
      </c>
      <c r="E16" s="2" cm="1">
        <f t="array" ref="E16">INDEX($B$2:$I$8,MATCH($A16,$B$3:$B$8,0)+1,MATCH(E$15,$C$2:$I$2,0)+1)</f>
        <v>637</v>
      </c>
      <c r="F16" s="2" cm="1">
        <f t="array" ref="F16">INDEX($B$2:$I$8,MATCH($A16,$B$3:$B$8,0)+1,MATCH(F$15,$C$2:$I$2,0)+1)</f>
        <v>3165</v>
      </c>
    </row>
    <row r="17" spans="1:6" x14ac:dyDescent="0.25">
      <c r="A17" s="2" t="s">
        <v>40</v>
      </c>
      <c r="B17" s="2" cm="1">
        <f t="array" ref="B17">INDEX($B$2:$I$8,MATCH($A17,$B$3:$B$8,0)+1,MATCH(B$15,$C$2:$I$2,0)+1)</f>
        <v>441</v>
      </c>
      <c r="C17" s="2" cm="1">
        <f t="array" ref="C17">INDEX($B$2:$I$8,MATCH($A17,$B$3:$B$8,0)+1,MATCH(C$15,$C$2:$I$2,0)+1)</f>
        <v>310</v>
      </c>
      <c r="D17" s="2" cm="1">
        <f t="array" ref="D17">INDEX($B$2:$I$8,MATCH($A17,$B$3:$B$8,0)+1,MATCH(D$15,$C$2:$I$2,0)+1)</f>
        <v>3339</v>
      </c>
      <c r="E17" s="2" cm="1">
        <f t="array" ref="E17">INDEX($B$2:$I$8,MATCH($A17,$B$3:$B$8,0)+1,MATCH(E$15,$C$2:$I$2,0)+1)</f>
        <v>642</v>
      </c>
      <c r="F17" s="2" cm="1">
        <f t="array" ref="F17">INDEX($B$2:$I$8,MATCH($A17,$B$3:$B$8,0)+1,MATCH(F$15,$C$2:$I$2,0)+1)</f>
        <v>3230</v>
      </c>
    </row>
    <row r="18" spans="1:6" x14ac:dyDescent="0.25">
      <c r="A18" s="2" t="s">
        <v>43</v>
      </c>
      <c r="B18" s="2" cm="1">
        <f t="array" ref="B18">INDEX($B$2:$I$8,MATCH($A18,$B$3:$B$8,0)+1,MATCH(B$15,$C$2:$I$2,0)+1)</f>
        <v>624</v>
      </c>
      <c r="C18" s="2" cm="1">
        <f t="array" ref="C18">INDEX($B$2:$I$8,MATCH($A18,$B$3:$B$8,0)+1,MATCH(C$15,$C$2:$I$2,0)+1)</f>
        <v>190</v>
      </c>
      <c r="D18" s="2" cm="1">
        <f t="array" ref="D18">INDEX($B$2:$I$8,MATCH($A18,$B$3:$B$8,0)+1,MATCH(D$15,$C$2:$I$2,0)+1)</f>
        <v>2436</v>
      </c>
      <c r="E18" s="2" cm="1">
        <f t="array" ref="E18">INDEX($B$2:$I$8,MATCH($A18,$B$3:$B$8,0)+1,MATCH(E$15,$C$2:$I$2,0)+1)</f>
        <v>841</v>
      </c>
      <c r="F18" s="2" cm="1">
        <f t="array" ref="F18">INDEX($B$2:$I$8,MATCH($A18,$B$3:$B$8,0)+1,MATCH(F$15,$C$2:$I$2,0)+1)</f>
        <v>2463</v>
      </c>
    </row>
  </sheetData>
  <sortState xmlns:xlrd2="http://schemas.microsoft.com/office/spreadsheetml/2017/richdata2" ref="B3:I8">
    <sortCondition ref="B3:B8"/>
  </sortState>
  <mergeCells count="1">
    <mergeCell ref="A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9"/>
  <sheetViews>
    <sheetView workbookViewId="0">
      <selection activeCell="F6" sqref="F6"/>
    </sheetView>
  </sheetViews>
  <sheetFormatPr defaultRowHeight="13.8" x14ac:dyDescent="0.25"/>
  <cols>
    <col min="2" max="4" width="17.33203125" customWidth="1"/>
    <col min="5" max="5" width="17.77734375" customWidth="1"/>
  </cols>
  <sheetData>
    <row r="1" spans="2:6" x14ac:dyDescent="0.25">
      <c r="B1" s="7" t="s">
        <v>74</v>
      </c>
      <c r="C1" s="1" t="s">
        <v>84</v>
      </c>
      <c r="D1" s="1" t="s">
        <v>74</v>
      </c>
      <c r="E1" s="7" t="s">
        <v>55</v>
      </c>
    </row>
    <row r="2" spans="2:6" x14ac:dyDescent="0.25">
      <c r="B2" s="1" t="s">
        <v>76</v>
      </c>
      <c r="C2" s="1">
        <v>21</v>
      </c>
      <c r="D2" s="1" t="s">
        <v>80</v>
      </c>
      <c r="E2" s="1">
        <v>20</v>
      </c>
      <c r="F2" t="s">
        <v>85</v>
      </c>
    </row>
    <row r="3" spans="2:6" x14ac:dyDescent="0.25">
      <c r="B3" s="1" t="s">
        <v>75</v>
      </c>
      <c r="C3" s="1">
        <v>5451</v>
      </c>
      <c r="D3" s="1" t="s">
        <v>81</v>
      </c>
      <c r="E3" s="1">
        <v>451</v>
      </c>
      <c r="F3" t="s">
        <v>75</v>
      </c>
    </row>
    <row r="4" spans="2:6" x14ac:dyDescent="0.25">
      <c r="B4" s="1" t="s">
        <v>78</v>
      </c>
      <c r="C4" s="1">
        <v>623</v>
      </c>
      <c r="D4" s="1" t="s">
        <v>82</v>
      </c>
      <c r="E4" s="1">
        <v>851201</v>
      </c>
      <c r="F4" t="s">
        <v>78</v>
      </c>
    </row>
    <row r="5" spans="2:6" x14ac:dyDescent="0.25">
      <c r="B5" s="1" t="s">
        <v>77</v>
      </c>
      <c r="C5" s="1">
        <v>848451</v>
      </c>
      <c r="D5" s="1" t="s">
        <v>83</v>
      </c>
      <c r="E5" s="1">
        <v>1285</v>
      </c>
      <c r="F5" t="s">
        <v>77</v>
      </c>
    </row>
    <row r="8" spans="2:6" x14ac:dyDescent="0.25">
      <c r="B8" t="s">
        <v>79</v>
      </c>
    </row>
    <row r="9" spans="2:6" x14ac:dyDescent="0.25">
      <c r="B9">
        <v>123</v>
      </c>
    </row>
  </sheetData>
  <sortState xmlns:xlrd2="http://schemas.microsoft.com/office/spreadsheetml/2017/richdata2" ref="B2:E5">
    <sortCondition ref="B2:B5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E10" sqref="E10"/>
    </sheetView>
  </sheetViews>
  <sheetFormatPr defaultRowHeight="13.8" x14ac:dyDescent="0.25"/>
  <sheetData>
    <row r="1" spans="1:8" x14ac:dyDescent="0.25">
      <c r="A1" s="7" t="s">
        <v>56</v>
      </c>
      <c r="B1" s="7" t="s">
        <v>57</v>
      </c>
      <c r="D1" s="1" t="s">
        <v>70</v>
      </c>
      <c r="E1" s="1"/>
      <c r="F1" s="1"/>
      <c r="G1" s="1"/>
    </row>
    <row r="2" spans="1:8" x14ac:dyDescent="0.25">
      <c r="A2" s="1" t="s">
        <v>63</v>
      </c>
      <c r="B2" s="1">
        <v>3280</v>
      </c>
    </row>
    <row r="3" spans="1:8" x14ac:dyDescent="0.25">
      <c r="A3" s="1" t="s">
        <v>59</v>
      </c>
      <c r="B3" s="1">
        <v>3717</v>
      </c>
      <c r="D3" s="1" t="s">
        <v>71</v>
      </c>
      <c r="E3" s="1"/>
      <c r="F3" s="1"/>
      <c r="G3" s="1"/>
      <c r="H3" s="1" t="e">
        <f>INDEX($A$2:$A$13,MATCH(B14,$B$2:$B$13,-1),1)</f>
        <v>#N/A</v>
      </c>
    </row>
    <row r="4" spans="1:8" x14ac:dyDescent="0.25">
      <c r="A4" s="1" t="s">
        <v>68</v>
      </c>
      <c r="B4" s="1">
        <v>3740</v>
      </c>
    </row>
    <row r="5" spans="1:8" x14ac:dyDescent="0.25">
      <c r="A5" s="1" t="s">
        <v>61</v>
      </c>
      <c r="B5" s="1">
        <v>4083</v>
      </c>
    </row>
    <row r="6" spans="1:8" x14ac:dyDescent="0.25">
      <c r="A6" s="1" t="s">
        <v>66</v>
      </c>
      <c r="B6" s="1">
        <v>4247</v>
      </c>
    </row>
    <row r="7" spans="1:8" x14ac:dyDescent="0.25">
      <c r="A7" s="1" t="s">
        <v>58</v>
      </c>
      <c r="B7" s="1">
        <v>4250</v>
      </c>
    </row>
    <row r="8" spans="1:8" x14ac:dyDescent="0.25">
      <c r="A8" s="1" t="s">
        <v>69</v>
      </c>
      <c r="B8" s="1">
        <v>4452</v>
      </c>
    </row>
    <row r="9" spans="1:8" x14ac:dyDescent="0.25">
      <c r="A9" s="1" t="s">
        <v>62</v>
      </c>
      <c r="B9" s="1">
        <v>4822</v>
      </c>
    </row>
    <row r="10" spans="1:8" x14ac:dyDescent="0.25">
      <c r="A10" s="1" t="s">
        <v>67</v>
      </c>
      <c r="B10" s="1">
        <v>4863</v>
      </c>
    </row>
    <row r="11" spans="1:8" x14ac:dyDescent="0.25">
      <c r="A11" s="1" t="s">
        <v>65</v>
      </c>
      <c r="B11" s="1">
        <v>6652</v>
      </c>
    </row>
    <row r="12" spans="1:8" x14ac:dyDescent="0.25">
      <c r="A12" s="1" t="s">
        <v>64</v>
      </c>
      <c r="B12" s="1">
        <v>6819</v>
      </c>
    </row>
    <row r="13" spans="1:8" x14ac:dyDescent="0.25">
      <c r="A13" s="1" t="s">
        <v>60</v>
      </c>
      <c r="B13" s="1">
        <v>7217</v>
      </c>
    </row>
    <row r="14" spans="1:8" x14ac:dyDescent="0.25">
      <c r="B14">
        <f>AVERAGE(B2:B13)</f>
        <v>4845.166666666667</v>
      </c>
    </row>
  </sheetData>
  <sortState xmlns:xlrd2="http://schemas.microsoft.com/office/spreadsheetml/2017/richdata2" ref="A2:B13">
    <sortCondition ref="B2:B13"/>
  </sortState>
  <phoneticPr fontId="1" type="noConversion"/>
  <conditionalFormatting sqref="B2:B13">
    <cfRule type="cellIs" dxfId="1" priority="1" operator="greaterThan">
      <formula>$B$14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tabSelected="1" workbookViewId="0">
      <selection activeCell="C6" sqref="C6"/>
    </sheetView>
  </sheetViews>
  <sheetFormatPr defaultRowHeight="13.8" x14ac:dyDescent="0.25"/>
  <sheetData>
    <row r="1" spans="1:2" x14ac:dyDescent="0.25">
      <c r="A1" s="7" t="s">
        <v>46</v>
      </c>
      <c r="B1" s="7" t="s">
        <v>72</v>
      </c>
    </row>
    <row r="2" spans="1:2" x14ac:dyDescent="0.25">
      <c r="A2" s="1" t="s">
        <v>38</v>
      </c>
      <c r="B2" s="1"/>
    </row>
    <row r="3" spans="1:2" x14ac:dyDescent="0.25">
      <c r="A3" s="1" t="s">
        <v>39</v>
      </c>
      <c r="B3" s="1"/>
    </row>
    <row r="4" spans="1:2" x14ac:dyDescent="0.25">
      <c r="A4" s="1" t="s">
        <v>40</v>
      </c>
      <c r="B4" s="1"/>
    </row>
    <row r="5" spans="1:2" x14ac:dyDescent="0.25">
      <c r="A5" s="1" t="s">
        <v>41</v>
      </c>
      <c r="B5" s="1"/>
    </row>
    <row r="6" spans="1:2" x14ac:dyDescent="0.25">
      <c r="A6" s="1" t="s">
        <v>42</v>
      </c>
      <c r="B6" s="1"/>
    </row>
    <row r="7" spans="1:2" x14ac:dyDescent="0.25">
      <c r="A7" s="1" t="s">
        <v>43</v>
      </c>
      <c r="B7" s="1"/>
    </row>
    <row r="8" spans="1:2" x14ac:dyDescent="0.25">
      <c r="A8" s="1" t="s">
        <v>39</v>
      </c>
      <c r="B8" s="1"/>
    </row>
    <row r="9" spans="1:2" x14ac:dyDescent="0.25">
      <c r="A9" s="1" t="s">
        <v>41</v>
      </c>
      <c r="B9" s="1"/>
    </row>
    <row r="11" spans="1:2" x14ac:dyDescent="0.25">
      <c r="A11" t="s">
        <v>73</v>
      </c>
    </row>
  </sheetData>
  <phoneticPr fontId="1" type="noConversion"/>
  <conditionalFormatting sqref="A2:A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练习题1</vt:lpstr>
      <vt:lpstr>练习题2</vt:lpstr>
      <vt:lpstr>练习题3</vt:lpstr>
      <vt:lpstr>练习题4</vt:lpstr>
      <vt:lpstr>练习题5</vt:lpstr>
      <vt:lpstr>练习题6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2024-10-25T05:02:19Z</dcterms:modified>
</cp:coreProperties>
</file>