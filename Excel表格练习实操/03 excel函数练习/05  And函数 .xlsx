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363C771-9EA3-4859-AD2B-B181B275D4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2" i="4"/>
  <c r="D4" i="3"/>
  <c r="D5" i="3"/>
  <c r="D3" i="3"/>
  <c r="C4" i="2"/>
  <c r="C5" i="2"/>
  <c r="C6" i="2"/>
  <c r="C7" i="2"/>
  <c r="C3" i="2"/>
  <c r="D4" i="1"/>
  <c r="D5" i="1"/>
  <c r="D6" i="1"/>
  <c r="D7" i="1"/>
  <c r="D3" i="1"/>
  <c r="J3" i="4"/>
  <c r="J4" i="4"/>
  <c r="J2" i="4"/>
  <c r="J4" i="3"/>
  <c r="J5" i="3"/>
  <c r="J3" i="3"/>
  <c r="I4" i="2"/>
  <c r="I5" i="2"/>
  <c r="I6" i="2"/>
  <c r="I7" i="2"/>
  <c r="I3" i="2"/>
  <c r="J4" i="1"/>
  <c r="J5" i="1"/>
  <c r="J6" i="1"/>
  <c r="J7" i="1"/>
  <c r="J3" i="1"/>
</calcChain>
</file>

<file path=xl/sharedStrings.xml><?xml version="1.0" encoding="utf-8"?>
<sst xmlns="http://schemas.openxmlformats.org/spreadsheetml/2006/main" count="55" uniqueCount="41">
  <si>
    <t>姓名</t>
    <phoneticPr fontId="1" type="noConversion"/>
  </si>
  <si>
    <t>语文</t>
    <phoneticPr fontId="1" type="noConversion"/>
  </si>
  <si>
    <t>数学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</si>
  <si>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</si>
  <si>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</si>
  <si>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</si>
  <si>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</si>
  <si>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</si>
  <si>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评优考核</t>
    <phoneticPr fontId="1" type="noConversion"/>
  </si>
  <si>
    <t>评选结果</t>
    <phoneticPr fontId="1" type="noConversion"/>
  </si>
  <si>
    <t>语文成绩不低于90分</t>
    <phoneticPr fontId="1" type="noConversion"/>
  </si>
  <si>
    <t>注：评优考核条件：</t>
    <phoneticPr fontId="1" type="noConversion"/>
  </si>
  <si>
    <t>数学成绩也不能低于90分</t>
    <phoneticPr fontId="1" type="noConversion"/>
  </si>
  <si>
    <t>奖金明细表</t>
    <phoneticPr fontId="1" type="noConversion"/>
  </si>
  <si>
    <t>业绩</t>
    <phoneticPr fontId="1" type="noConversion"/>
  </si>
  <si>
    <t>奖金</t>
    <phoneticPr fontId="1" type="noConversion"/>
  </si>
  <si>
    <t>注：奖金评定说明</t>
    <phoneticPr fontId="1" type="noConversion"/>
  </si>
  <si>
    <t>业绩低于5000，奖金为100</t>
    <phoneticPr fontId="1" type="noConversion"/>
  </si>
  <si>
    <t>业绩大于等于1万，奖金为500</t>
    <phoneticPr fontId="1" type="noConversion"/>
  </si>
  <si>
    <t>业绩大于等于5000且小于1万，奖金为200</t>
    <phoneticPr fontId="1" type="noConversion"/>
  </si>
  <si>
    <t>姓名</t>
    <phoneticPr fontId="5" type="noConversion"/>
  </si>
  <si>
    <t>笔试成绩</t>
    <phoneticPr fontId="6" type="noConversion"/>
  </si>
  <si>
    <t>面试成绩</t>
    <phoneticPr fontId="5" type="noConversion"/>
  </si>
  <si>
    <t>是否录取</t>
    <phoneticPr fontId="5" type="noConversion"/>
  </si>
  <si>
    <t>王成武</t>
    <phoneticPr fontId="5" type="noConversion"/>
  </si>
  <si>
    <t>李兆新</t>
    <phoneticPr fontId="5" type="noConversion"/>
  </si>
  <si>
    <t>龙飞</t>
    <phoneticPr fontId="5" type="noConversion"/>
  </si>
  <si>
    <t>录取结果</t>
    <phoneticPr fontId="1" type="noConversion"/>
  </si>
  <si>
    <t>只录取笔试成绩和面试成绩都不低于80分的大学生，其余淘汰。</t>
  </si>
  <si>
    <t>姓名</t>
    <phoneticPr fontId="5" type="noConversion"/>
  </si>
  <si>
    <t>是否老员工</t>
    <phoneticPr fontId="5" type="noConversion"/>
  </si>
  <si>
    <t>陈云飞</t>
    <phoneticPr fontId="5" type="noConversion"/>
  </si>
  <si>
    <t>否</t>
    <phoneticPr fontId="5" type="noConversion"/>
  </si>
  <si>
    <t>张顶顶</t>
    <phoneticPr fontId="5" type="noConversion"/>
  </si>
  <si>
    <t>是</t>
    <phoneticPr fontId="5" type="noConversion"/>
  </si>
  <si>
    <t>刘真</t>
    <phoneticPr fontId="5" type="noConversion"/>
  </si>
  <si>
    <t>业绩</t>
    <phoneticPr fontId="6" type="noConversion"/>
  </si>
  <si>
    <t>特殊奖金</t>
    <phoneticPr fontId="5" type="noConversion"/>
  </si>
  <si>
    <t>业绩超过3000的老员工享有特殊奖金500</t>
    <phoneticPr fontId="1" type="noConversion"/>
  </si>
  <si>
    <t>注：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</si>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</sst>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G10" sqref="G10"/>
    </sheetView>
  </sheetViews>
  <sheetFormatPr defaultRowHeight="13.8" x14ac:dyDescent="0.25"/>
  <sheetData>
    <row r="1" spans="1:10" x14ac:dyDescent="0.25">
      <c r="A1" s="14" t="s">
        <v>8</v>
      </c>
      <c r="B1" s="14"/>
      <c r="C1" s="14"/>
      <c r="D1" s="14"/>
      <c r="J1" s="13" t="s">
        <v>40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9</v>
      </c>
      <c r="F2" s="15" t="s">
        <v>11</v>
      </c>
      <c r="G2" s="15"/>
      <c r="J2" s="1" t="s">
        <v>9</v>
      </c>
    </row>
    <row r="3" spans="1:10" x14ac:dyDescent="0.25">
      <c r="A3" s="2" t="s">
        <v>3</v>
      </c>
      <c r="B3" s="2">
        <v>92</v>
      </c>
      <c r="C3" s="2">
        <v>99</v>
      </c>
      <c r="D3" s="2" t="str">
        <f>IF(AND(B3&gt;=90,C3&gt;=90),"优",)</f>
        <v>优</v>
      </c>
      <c r="F3" t="s">
        <v>10</v>
      </c>
      <c r="J3" s="2" t="str">
        <f>IF(AND(B3&gt;=90,C3&gt;=90),"优","")</f>
        <v>优</v>
      </c>
    </row>
    <row r="4" spans="1:10" x14ac:dyDescent="0.25">
      <c r="A4" s="2" t="s">
        <v>4</v>
      </c>
      <c r="B4" s="2">
        <v>88</v>
      </c>
      <c r="C4" s="2">
        <v>97</v>
      </c>
      <c r="D4" s="2">
        <f t="shared" ref="D4:D7" si="0">IF(AND(B4&gt;=90,C4&gt;=90),"优",)</f>
        <v>0</v>
      </c>
      <c r="F4" t="s">
        <v>12</v>
      </c>
      <c r="J4" s="2" t="str">
        <f t="shared" ref="J4:J7" si="1">IF(AND(B4&gt;=90,C4&gt;=90),"优","")</f>
        <v/>
      </c>
    </row>
    <row r="5" spans="1:10" x14ac:dyDescent="0.25">
      <c r="A5" s="2" t="s">
        <v>5</v>
      </c>
      <c r="B5" s="2">
        <v>95</v>
      </c>
      <c r="C5" s="2">
        <v>90</v>
      </c>
      <c r="D5" s="2" t="str">
        <f t="shared" si="0"/>
        <v>优</v>
      </c>
      <c r="J5" s="2" t="str">
        <f t="shared" si="1"/>
        <v>优</v>
      </c>
    </row>
    <row r="6" spans="1:10" x14ac:dyDescent="0.25">
      <c r="A6" s="2" t="s">
        <v>6</v>
      </c>
      <c r="B6" s="2">
        <v>90</v>
      </c>
      <c r="C6" s="2">
        <v>88</v>
      </c>
      <c r="D6" s="2">
        <f t="shared" si="0"/>
        <v>0</v>
      </c>
      <c r="J6" s="2" t="str">
        <f t="shared" si="1"/>
        <v/>
      </c>
    </row>
    <row r="7" spans="1:10" x14ac:dyDescent="0.25">
      <c r="A7" s="2" t="s">
        <v>7</v>
      </c>
      <c r="B7" s="2">
        <v>85</v>
      </c>
      <c r="C7" s="2">
        <v>100</v>
      </c>
      <c r="D7" s="2">
        <f t="shared" si="0"/>
        <v>0</v>
      </c>
      <c r="J7" s="2" t="str">
        <f t="shared" si="1"/>
        <v/>
      </c>
    </row>
  </sheetData>
  <mergeCells count="2">
    <mergeCell ref="A1:D1"/>
    <mergeCell ref="F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E6" sqref="E6"/>
    </sheetView>
  </sheetViews>
  <sheetFormatPr defaultRowHeight="13.8" x14ac:dyDescent="0.25"/>
  <sheetData>
    <row r="1" spans="1:9" x14ac:dyDescent="0.25">
      <c r="A1" s="16" t="s">
        <v>13</v>
      </c>
      <c r="B1" s="16"/>
      <c r="C1" s="16"/>
      <c r="I1" s="13" t="s">
        <v>40</v>
      </c>
    </row>
    <row r="2" spans="1:9" x14ac:dyDescent="0.25">
      <c r="A2" s="3" t="s">
        <v>0</v>
      </c>
      <c r="B2" s="3" t="s">
        <v>14</v>
      </c>
      <c r="C2" s="3" t="s">
        <v>15</v>
      </c>
      <c r="I2" s="3" t="s">
        <v>15</v>
      </c>
    </row>
    <row r="3" spans="1:9" x14ac:dyDescent="0.25">
      <c r="A3" s="2" t="s">
        <v>3</v>
      </c>
      <c r="B3" s="2">
        <v>5300</v>
      </c>
      <c r="C3" s="2">
        <f>IF(B3&gt;=10000,500,IF(B3&gt;=5000,200,100))</f>
        <v>200</v>
      </c>
      <c r="I3" s="2">
        <f>IF(B3&lt;5000,100,IF(AND(B3&gt;=5000,B3&lt;10000),200,IF(B3&gt;=10000,500)))</f>
        <v>200</v>
      </c>
    </row>
    <row r="4" spans="1:9" x14ac:dyDescent="0.25">
      <c r="A4" s="2" t="s">
        <v>4</v>
      </c>
      <c r="B4" s="2">
        <v>4600</v>
      </c>
      <c r="C4" s="2">
        <f t="shared" ref="C4:C7" si="0">IF(B4&gt;=10000,500,IF(B4&gt;=5000,200,100))</f>
        <v>100</v>
      </c>
      <c r="I4" s="2">
        <f t="shared" ref="I4:I7" si="1">IF(B4&lt;5000,100,IF(AND(B4&gt;=5000,B4&lt;10000),200,IF(B4&gt;=10000,500)))</f>
        <v>100</v>
      </c>
    </row>
    <row r="5" spans="1:9" x14ac:dyDescent="0.25">
      <c r="A5" s="2" t="s">
        <v>5</v>
      </c>
      <c r="B5" s="2">
        <v>7100</v>
      </c>
      <c r="C5" s="2">
        <f t="shared" si="0"/>
        <v>200</v>
      </c>
      <c r="I5" s="2">
        <f t="shared" si="1"/>
        <v>200</v>
      </c>
    </row>
    <row r="6" spans="1:9" x14ac:dyDescent="0.25">
      <c r="A6" s="2" t="s">
        <v>6</v>
      </c>
      <c r="B6" s="2">
        <v>5050</v>
      </c>
      <c r="C6" s="2">
        <f t="shared" si="0"/>
        <v>200</v>
      </c>
      <c r="I6" s="2">
        <f t="shared" si="1"/>
        <v>200</v>
      </c>
    </row>
    <row r="7" spans="1:9" x14ac:dyDescent="0.25">
      <c r="A7" s="2" t="s">
        <v>7</v>
      </c>
      <c r="B7" s="2">
        <v>11000</v>
      </c>
      <c r="C7" s="2">
        <f t="shared" si="0"/>
        <v>500</v>
      </c>
      <c r="I7" s="2">
        <f t="shared" si="1"/>
        <v>500</v>
      </c>
    </row>
    <row r="8" spans="1:9" x14ac:dyDescent="0.25">
      <c r="E8" s="4" t="s">
        <v>16</v>
      </c>
      <c r="F8" s="5"/>
    </row>
    <row r="9" spans="1:9" x14ac:dyDescent="0.25">
      <c r="E9" t="s">
        <v>17</v>
      </c>
    </row>
    <row r="10" spans="1:9" x14ac:dyDescent="0.25">
      <c r="E10" t="s">
        <v>19</v>
      </c>
    </row>
    <row r="11" spans="1:9" x14ac:dyDescent="0.25">
      <c r="E11" t="s">
        <v>18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G7" sqref="G7"/>
    </sheetView>
  </sheetViews>
  <sheetFormatPr defaultRowHeight="13.8" x14ac:dyDescent="0.25"/>
  <sheetData>
    <row r="1" spans="1:10" x14ac:dyDescent="0.25">
      <c r="A1" s="15" t="s">
        <v>27</v>
      </c>
      <c r="B1" s="15"/>
      <c r="C1" s="15"/>
      <c r="D1" s="15"/>
      <c r="J1" t="s">
        <v>40</v>
      </c>
    </row>
    <row r="2" spans="1:10" x14ac:dyDescent="0.25">
      <c r="A2" s="7" t="s">
        <v>20</v>
      </c>
      <c r="B2" s="7" t="s">
        <v>21</v>
      </c>
      <c r="C2" s="8" t="s">
        <v>22</v>
      </c>
      <c r="D2" s="8" t="s">
        <v>23</v>
      </c>
      <c r="J2" s="8" t="s">
        <v>23</v>
      </c>
    </row>
    <row r="3" spans="1:10" x14ac:dyDescent="0.25">
      <c r="A3" s="6" t="s">
        <v>24</v>
      </c>
      <c r="B3" s="6">
        <v>78</v>
      </c>
      <c r="C3" s="6">
        <v>95</v>
      </c>
      <c r="D3" s="6" t="str">
        <f>IF(AND(B3&gt;=80,C3&gt;=80),"录取","淘汰")</f>
        <v>淘汰</v>
      </c>
      <c r="J3" s="6" t="str">
        <f>IF(AND(B3&gt;=80,C3&gt;=80),"录取","淘汰")</f>
        <v>淘汰</v>
      </c>
    </row>
    <row r="4" spans="1:10" x14ac:dyDescent="0.25">
      <c r="A4" s="6" t="s">
        <v>25</v>
      </c>
      <c r="B4" s="6">
        <v>83</v>
      </c>
      <c r="C4" s="6">
        <v>86</v>
      </c>
      <c r="D4" s="6" t="str">
        <f t="shared" ref="D4:D5" si="0">IF(AND(B4&gt;=80,C4&gt;=80),"录取","淘汰")</f>
        <v>录取</v>
      </c>
      <c r="J4" s="6" t="str">
        <f t="shared" ref="J4:J5" si="1">IF(AND(B4&gt;=80,C4&gt;=80),"录取","淘汰")</f>
        <v>录取</v>
      </c>
    </row>
    <row r="5" spans="1:10" x14ac:dyDescent="0.25">
      <c r="A5" s="6" t="s">
        <v>26</v>
      </c>
      <c r="B5" s="6">
        <v>90</v>
      </c>
      <c r="C5" s="6">
        <v>75</v>
      </c>
      <c r="D5" s="6" t="str">
        <f t="shared" si="0"/>
        <v>淘汰</v>
      </c>
      <c r="J5" s="6" t="str">
        <f t="shared" si="1"/>
        <v>淘汰</v>
      </c>
    </row>
    <row r="9" spans="1:10" x14ac:dyDescent="0.25">
      <c r="A9" t="s">
        <v>28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tabSelected="1" workbookViewId="0">
      <selection activeCell="G5" sqref="G5"/>
    </sheetView>
  </sheetViews>
  <sheetFormatPr defaultRowHeight="13.8" x14ac:dyDescent="0.25"/>
  <cols>
    <col min="3" max="3" width="10.33203125" customWidth="1"/>
  </cols>
  <sheetData>
    <row r="1" spans="1:10" x14ac:dyDescent="0.25">
      <c r="A1" s="10" t="s">
        <v>29</v>
      </c>
      <c r="B1" s="10" t="s">
        <v>36</v>
      </c>
      <c r="C1" s="11" t="s">
        <v>30</v>
      </c>
      <c r="D1" s="11" t="s">
        <v>37</v>
      </c>
      <c r="I1" s="13" t="s">
        <v>40</v>
      </c>
      <c r="J1" s="11" t="s">
        <v>37</v>
      </c>
    </row>
    <row r="2" spans="1:10" x14ac:dyDescent="0.25">
      <c r="A2" s="9" t="s">
        <v>31</v>
      </c>
      <c r="B2" s="9">
        <v>3100</v>
      </c>
      <c r="C2" s="9" t="s">
        <v>32</v>
      </c>
      <c r="D2" s="9">
        <f>IF(AND(B2&gt;=3000,C2="是"),500,0)</f>
        <v>0</v>
      </c>
      <c r="J2" s="9">
        <f>IF(AND(B2&gt;=3000,C2="是"),500,0)</f>
        <v>0</v>
      </c>
    </row>
    <row r="3" spans="1:10" x14ac:dyDescent="0.25">
      <c r="A3" s="9" t="s">
        <v>33</v>
      </c>
      <c r="B3" s="9">
        <v>2800</v>
      </c>
      <c r="C3" s="9" t="s">
        <v>34</v>
      </c>
      <c r="D3" s="9">
        <f t="shared" ref="D3:D4" si="0">IF(AND(B3&gt;=3000,C3="是"),500,0)</f>
        <v>0</v>
      </c>
      <c r="J3" s="9">
        <f t="shared" ref="J3:J4" si="1">IF(AND(B3&gt;=3000,C3="是"),500,0)</f>
        <v>0</v>
      </c>
    </row>
    <row r="4" spans="1:10" x14ac:dyDescent="0.25">
      <c r="A4" s="9" t="s">
        <v>35</v>
      </c>
      <c r="B4" s="9">
        <v>3250</v>
      </c>
      <c r="C4" s="9" t="s">
        <v>34</v>
      </c>
      <c r="D4" s="9">
        <f t="shared" si="0"/>
        <v>500</v>
      </c>
      <c r="J4" s="9">
        <f t="shared" si="1"/>
        <v>500</v>
      </c>
    </row>
    <row r="6" spans="1:10" x14ac:dyDescent="0.25">
      <c r="A6" s="12" t="s">
        <v>39</v>
      </c>
    </row>
    <row r="7" spans="1:10" x14ac:dyDescent="0.25">
      <c r="A7" s="12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2024-10-22T15:33:20Z</dcterms:modified>
</cp:coreProperties>
</file>