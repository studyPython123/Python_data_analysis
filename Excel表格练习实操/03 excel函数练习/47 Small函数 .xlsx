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CA149087-C223-4ADD-A03C-90D6C237C87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练习题1" sheetId="1" r:id="rId1"/>
    <sheet name="练习题2" sheetId="2" r:id="rId2"/>
    <sheet name="练习题3" sheetId="3" r:id="rId3"/>
    <sheet name="练习题4" sheetId="4" r:id="rId4"/>
  </sheets>
  <definedNames>
    <definedName name="_xlnm._FilterDatabase" localSheetId="3" hidden="1">练习题4!$C$1:$C$7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3" l="1" a="1"/>
  <c r="I2" i="3"/>
  <c r="I2" i="2" a="1"/>
  <c r="I2" i="2"/>
  <c r="I3" i="1"/>
  <c r="I4" i="1"/>
  <c r="I5" i="1"/>
  <c r="I6" i="1"/>
  <c r="I7" i="1"/>
  <c r="I2" i="1"/>
  <c r="F3" i="1"/>
  <c r="F4" i="1"/>
  <c r="F2" i="1"/>
  <c r="B14" i="4" a="1"/>
  <c r="B14" i="4" s="1"/>
  <c r="C14" i="4" a="1"/>
  <c r="C14" i="4" s="1"/>
  <c r="D14" i="4" a="1"/>
  <c r="D14" i="4" s="1"/>
  <c r="E14" i="4" a="1"/>
  <c r="E14" i="4" s="1"/>
  <c r="F14" i="4" a="1"/>
  <c r="F14" i="4" s="1"/>
  <c r="G14" i="4" a="1"/>
  <c r="G14" i="4" s="1"/>
  <c r="H14" i="4" a="1"/>
  <c r="H14" i="4" s="1"/>
  <c r="I14" i="4" a="1"/>
  <c r="I14" i="4" s="1"/>
  <c r="J14" i="4" a="1"/>
  <c r="J14" i="4" s="1"/>
  <c r="B15" i="4" a="1"/>
  <c r="B15" i="4" s="1"/>
  <c r="C15" i="4" a="1"/>
  <c r="C15" i="4" s="1"/>
  <c r="D15" i="4" a="1"/>
  <c r="D15" i="4" s="1"/>
  <c r="E15" i="4" a="1"/>
  <c r="E15" i="4" s="1"/>
  <c r="F15" i="4" a="1"/>
  <c r="F15" i="4" s="1"/>
  <c r="G15" i="4" a="1"/>
  <c r="G15" i="4" s="1"/>
  <c r="H15" i="4" a="1"/>
  <c r="H15" i="4" s="1"/>
  <c r="I15" i="4" a="1"/>
  <c r="I15" i="4" s="1"/>
  <c r="J15" i="4" a="1"/>
  <c r="J15" i="4" s="1"/>
  <c r="A14" i="4" a="1"/>
  <c r="A14" i="4" s="1"/>
  <c r="A15" i="4" a="1"/>
  <c r="A1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<sst xmlns="http://schemas.openxmlformats.org/spreadsheetml/2006/main" count="99" uniqueCount="47">
  <si>
    <t>姓名</t>
    <phoneticPr fontId="1" type="noConversion"/>
  </si>
  <si>
    <t>性别</t>
    <phoneticPr fontId="1" type="noConversion"/>
  </si>
  <si>
    <t>成绩</t>
    <phoneticPr fontId="1" type="noConversion"/>
  </si>
  <si>
    <t>华欣琪</t>
    <phoneticPr fontId="1" type="noConversion"/>
  </si>
  <si>
    <t>女</t>
    <phoneticPr fontId="1" type="noConversion"/>
  </si>
  <si>
    <t>孔光桃</t>
    <phoneticPr fontId="1" type="noConversion"/>
  </si>
  <si>
    <t>曹秋</t>
    <phoneticPr fontId="1" type="noConversion"/>
  </si>
  <si>
    <t>男</t>
    <phoneticPr fontId="1" type="noConversion"/>
  </si>
  <si>
    <t>孔计香</t>
    <phoneticPr fontId="1" type="noConversion"/>
  </si>
  <si>
    <t>冯忠娇</t>
    <phoneticPr fontId="1" type="noConversion"/>
  </si>
  <si>
    <t>孔盼</t>
    <phoneticPr fontId="1" type="noConversion"/>
  </si>
  <si>
    <t>名次</t>
    <phoneticPr fontId="1" type="noConversion"/>
  </si>
  <si>
    <t>问题:</t>
    <phoneticPr fontId="1" type="noConversion"/>
  </si>
  <si>
    <t>问题：</t>
    <phoneticPr fontId="1" type="noConversion"/>
  </si>
  <si>
    <t>倒数第二名的成绩</t>
    <phoneticPr fontId="1" type="noConversion"/>
  </si>
  <si>
    <t>倒数第三名的成绩</t>
    <phoneticPr fontId="1" type="noConversion"/>
  </si>
  <si>
    <t>倒数第四名的成绩</t>
    <phoneticPr fontId="1" type="noConversion"/>
  </si>
  <si>
    <t>倒数第一名</t>
    <phoneticPr fontId="1" type="noConversion"/>
  </si>
  <si>
    <t>倒数第二名</t>
    <phoneticPr fontId="1" type="noConversion"/>
  </si>
  <si>
    <t>倒数第三名</t>
    <phoneticPr fontId="1" type="noConversion"/>
  </si>
  <si>
    <t>倒数第四名</t>
    <phoneticPr fontId="1" type="noConversion"/>
  </si>
  <si>
    <t>倒数第五名</t>
    <phoneticPr fontId="1" type="noConversion"/>
  </si>
  <si>
    <t>倒数第六名</t>
    <phoneticPr fontId="1" type="noConversion"/>
  </si>
  <si>
    <t>求出小于90分的最高分</t>
    <phoneticPr fontId="1" type="noConversion"/>
  </si>
  <si>
    <t>求出倒数3名的平均分</t>
    <phoneticPr fontId="1" type="noConversion"/>
  </si>
  <si>
    <t>编号</t>
  </si>
  <si>
    <t>姓名</t>
  </si>
  <si>
    <t>等级工资</t>
  </si>
  <si>
    <t>聘任津贴</t>
  </si>
  <si>
    <t>应发合计</t>
  </si>
  <si>
    <t>公积金</t>
  </si>
  <si>
    <t>医疗保险</t>
  </si>
  <si>
    <t>应扣合计</t>
  </si>
  <si>
    <t>实发工资</t>
  </si>
  <si>
    <t>云翠安</t>
  </si>
  <si>
    <t>苏莺</t>
  </si>
  <si>
    <t>童亦寒</t>
  </si>
  <si>
    <t>苗丹</t>
  </si>
  <si>
    <t>秦妙海</t>
  </si>
  <si>
    <t>陈莎</t>
  </si>
  <si>
    <t>部门</t>
    <phoneticPr fontId="1" type="noConversion"/>
  </si>
  <si>
    <t>办公室</t>
    <phoneticPr fontId="1" type="noConversion"/>
  </si>
  <si>
    <t>业务部</t>
    <phoneticPr fontId="1" type="noConversion"/>
  </si>
  <si>
    <t>人力部</t>
    <phoneticPr fontId="1" type="noConversion"/>
  </si>
  <si>
    <t>要查找的部门：</t>
    <phoneticPr fontId="1" type="noConversion"/>
  </si>
  <si>
    <t>（找出相应部门所有员工的工资明细）</t>
    <phoneticPr fontId="1" type="noConversion"/>
  </si>
  <si>
    <t>人力部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</si>
</sst>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selection activeCell="J12" sqref="J12"/>
    </sheetView>
  </sheetViews>
  <sheetFormatPr defaultRowHeight="13.8" x14ac:dyDescent="0.25"/>
  <cols>
    <col min="5" max="5" width="15.6640625" customWidth="1"/>
    <col min="6" max="6" width="8.88671875" customWidth="1"/>
    <col min="8" max="8" width="10.77734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H1" s="3" t="s">
        <v>11</v>
      </c>
      <c r="I1" s="3" t="s">
        <v>2</v>
      </c>
    </row>
    <row r="2" spans="1:10" x14ac:dyDescent="0.25">
      <c r="A2" s="2" t="s">
        <v>3</v>
      </c>
      <c r="B2" s="2" t="s">
        <v>4</v>
      </c>
      <c r="C2" s="2">
        <v>72</v>
      </c>
      <c r="E2" s="2" t="s">
        <v>14</v>
      </c>
      <c r="F2" s="2">
        <f>SMALL($C$2:$C$7,$G2)</f>
        <v>56</v>
      </c>
      <c r="G2">
        <v>2</v>
      </c>
      <c r="H2" s="2" t="s">
        <v>17</v>
      </c>
      <c r="I2" s="2">
        <f>SMALL($C$2:$C$7,$J2)</f>
        <v>55</v>
      </c>
      <c r="J2">
        <v>1</v>
      </c>
    </row>
    <row r="3" spans="1:10" x14ac:dyDescent="0.25">
      <c r="A3" s="2" t="s">
        <v>5</v>
      </c>
      <c r="B3" s="2" t="s">
        <v>4</v>
      </c>
      <c r="C3" s="2">
        <v>56</v>
      </c>
      <c r="E3" s="2" t="s">
        <v>15</v>
      </c>
      <c r="F3" s="2">
        <f t="shared" ref="F3:F4" si="0">SMALL($C$2:$C$7,$G3)</f>
        <v>67</v>
      </c>
      <c r="G3">
        <v>3</v>
      </c>
      <c r="H3" s="2" t="s">
        <v>18</v>
      </c>
      <c r="I3" s="2">
        <f t="shared" ref="I3:I7" si="1">SMALL($C$2:$C$7,$J3)</f>
        <v>56</v>
      </c>
      <c r="J3">
        <v>2</v>
      </c>
    </row>
    <row r="4" spans="1:10" x14ac:dyDescent="0.25">
      <c r="A4" s="2" t="s">
        <v>6</v>
      </c>
      <c r="B4" s="2" t="s">
        <v>7</v>
      </c>
      <c r="C4" s="2">
        <v>93</v>
      </c>
      <c r="E4" s="2" t="s">
        <v>16</v>
      </c>
      <c r="F4" s="2">
        <f t="shared" si="0"/>
        <v>72</v>
      </c>
      <c r="G4">
        <v>4</v>
      </c>
      <c r="H4" s="2" t="s">
        <v>19</v>
      </c>
      <c r="I4" s="2">
        <f t="shared" si="1"/>
        <v>67</v>
      </c>
      <c r="J4">
        <v>3</v>
      </c>
    </row>
    <row r="5" spans="1:10" x14ac:dyDescent="0.25">
      <c r="A5" s="2" t="s">
        <v>8</v>
      </c>
      <c r="B5" s="2" t="s">
        <v>4</v>
      </c>
      <c r="C5" s="2">
        <v>81</v>
      </c>
      <c r="H5" s="2" t="s">
        <v>20</v>
      </c>
      <c r="I5" s="2">
        <f t="shared" si="1"/>
        <v>72</v>
      </c>
      <c r="J5">
        <v>4</v>
      </c>
    </row>
    <row r="6" spans="1:10" x14ac:dyDescent="0.25">
      <c r="A6" s="2" t="s">
        <v>9</v>
      </c>
      <c r="B6" s="2" t="s">
        <v>4</v>
      </c>
      <c r="C6" s="2">
        <v>67</v>
      </c>
      <c r="H6" s="2" t="s">
        <v>21</v>
      </c>
      <c r="I6" s="2">
        <f t="shared" si="1"/>
        <v>81</v>
      </c>
      <c r="J6">
        <v>5</v>
      </c>
    </row>
    <row r="7" spans="1:10" x14ac:dyDescent="0.25">
      <c r="A7" s="2" t="s">
        <v>10</v>
      </c>
      <c r="B7" s="2" t="s">
        <v>7</v>
      </c>
      <c r="C7" s="2">
        <v>55</v>
      </c>
      <c r="H7" s="2" t="s">
        <v>22</v>
      </c>
      <c r="I7" s="2">
        <f t="shared" si="1"/>
        <v>93</v>
      </c>
      <c r="J7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H6" sqref="H6"/>
    </sheetView>
  </sheetViews>
  <sheetFormatPr defaultRowHeight="13.8" x14ac:dyDescent="0.25"/>
  <sheetData>
    <row r="1" spans="1:9" x14ac:dyDescent="0.25">
      <c r="A1" s="1" t="s">
        <v>0</v>
      </c>
      <c r="B1" s="1" t="s">
        <v>1</v>
      </c>
      <c r="C1" s="1" t="s">
        <v>2</v>
      </c>
    </row>
    <row r="2" spans="1:9" x14ac:dyDescent="0.25">
      <c r="A2" s="2" t="s">
        <v>3</v>
      </c>
      <c r="B2" s="2" t="s">
        <v>4</v>
      </c>
      <c r="C2" s="2">
        <v>72</v>
      </c>
      <c r="E2" t="s">
        <v>12</v>
      </c>
      <c r="F2" t="s">
        <v>23</v>
      </c>
      <c r="I2" cm="1">
        <f t="array" ref="I2">LARGE(IF($C$2:$C$7&lt;90,$C$2:$C$7),1)</f>
        <v>81</v>
      </c>
    </row>
    <row r="3" spans="1:9" x14ac:dyDescent="0.25">
      <c r="A3" s="2" t="s">
        <v>5</v>
      </c>
      <c r="B3" s="2" t="s">
        <v>4</v>
      </c>
      <c r="C3" s="2">
        <v>56</v>
      </c>
    </row>
    <row r="4" spans="1:9" x14ac:dyDescent="0.25">
      <c r="A4" s="2" t="s">
        <v>6</v>
      </c>
      <c r="B4" s="2" t="s">
        <v>7</v>
      </c>
      <c r="C4" s="2">
        <v>93</v>
      </c>
    </row>
    <row r="5" spans="1:9" x14ac:dyDescent="0.25">
      <c r="A5" s="2" t="s">
        <v>8</v>
      </c>
      <c r="B5" s="2" t="s">
        <v>4</v>
      </c>
      <c r="C5" s="2">
        <v>81</v>
      </c>
    </row>
    <row r="6" spans="1:9" x14ac:dyDescent="0.25">
      <c r="A6" s="2" t="s">
        <v>9</v>
      </c>
      <c r="B6" s="2" t="s">
        <v>4</v>
      </c>
      <c r="C6" s="2">
        <v>67</v>
      </c>
    </row>
    <row r="7" spans="1:9" x14ac:dyDescent="0.25">
      <c r="A7" s="2" t="s">
        <v>10</v>
      </c>
      <c r="B7" s="2" t="s">
        <v>7</v>
      </c>
      <c r="C7" s="2">
        <v>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>
      <selection activeCell="I3" sqref="I3"/>
    </sheetView>
  </sheetViews>
  <sheetFormatPr defaultRowHeight="13.8" x14ac:dyDescent="0.25"/>
  <sheetData>
    <row r="1" spans="1:9" x14ac:dyDescent="0.25">
      <c r="A1" s="1" t="s">
        <v>0</v>
      </c>
      <c r="B1" s="1" t="s">
        <v>1</v>
      </c>
      <c r="C1" s="1" t="s">
        <v>2</v>
      </c>
    </row>
    <row r="2" spans="1:9" x14ac:dyDescent="0.25">
      <c r="A2" s="2" t="s">
        <v>3</v>
      </c>
      <c r="B2" s="2" t="s">
        <v>4</v>
      </c>
      <c r="C2" s="2">
        <v>72</v>
      </c>
      <c r="E2" t="s">
        <v>13</v>
      </c>
      <c r="F2" t="s">
        <v>24</v>
      </c>
      <c r="I2" cm="1">
        <f t="array" ref="I2">AVERAGE(SMALL(C2:C7,{1,2,3}))</f>
        <v>59.333333333333336</v>
      </c>
    </row>
    <row r="3" spans="1:9" x14ac:dyDescent="0.25">
      <c r="A3" s="2" t="s">
        <v>5</v>
      </c>
      <c r="B3" s="2" t="s">
        <v>4</v>
      </c>
      <c r="C3" s="2">
        <v>56</v>
      </c>
    </row>
    <row r="4" spans="1:9" x14ac:dyDescent="0.25">
      <c r="A4" s="2" t="s">
        <v>6</v>
      </c>
      <c r="B4" s="2" t="s">
        <v>7</v>
      </c>
      <c r="C4" s="2">
        <v>93</v>
      </c>
    </row>
    <row r="5" spans="1:9" x14ac:dyDescent="0.25">
      <c r="A5" s="2" t="s">
        <v>8</v>
      </c>
      <c r="B5" s="2" t="s">
        <v>4</v>
      </c>
      <c r="C5" s="2">
        <v>81</v>
      </c>
    </row>
    <row r="6" spans="1:9" x14ac:dyDescent="0.25">
      <c r="A6" s="2" t="s">
        <v>9</v>
      </c>
      <c r="B6" s="2" t="s">
        <v>4</v>
      </c>
      <c r="C6" s="2">
        <v>67</v>
      </c>
    </row>
    <row r="7" spans="1:9" x14ac:dyDescent="0.25">
      <c r="A7" s="2" t="s">
        <v>10</v>
      </c>
      <c r="B7" s="2" t="s">
        <v>7</v>
      </c>
      <c r="C7" s="2">
        <v>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J15"/>
  <sheetViews>
    <sheetView tabSelected="1" workbookViewId="0">
      <selection activeCell="O18" sqref="O18"/>
    </sheetView>
  </sheetViews>
  <sheetFormatPr defaultRowHeight="13.8" x14ac:dyDescent="0.25"/>
  <cols>
    <col min="1" max="1" width="7.44140625" customWidth="1"/>
    <col min="2" max="3" width="7.88671875" customWidth="1"/>
  </cols>
  <sheetData>
    <row r="1" spans="1:10" x14ac:dyDescent="0.25">
      <c r="A1" s="1" t="s">
        <v>25</v>
      </c>
      <c r="B1" s="1" t="s">
        <v>26</v>
      </c>
      <c r="C1" s="1" t="s">
        <v>40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hidden="1" x14ac:dyDescent="0.25">
      <c r="A2" s="2">
        <v>1001</v>
      </c>
      <c r="B2" s="2" t="s">
        <v>34</v>
      </c>
      <c r="C2" s="2" t="s">
        <v>41</v>
      </c>
      <c r="D2" s="2">
        <v>2326</v>
      </c>
      <c r="E2" s="2">
        <v>656</v>
      </c>
      <c r="F2" s="2">
        <v>2982</v>
      </c>
      <c r="G2" s="2">
        <v>553</v>
      </c>
      <c r="H2" s="2">
        <v>140</v>
      </c>
      <c r="I2" s="2">
        <v>693</v>
      </c>
      <c r="J2" s="2">
        <v>2289</v>
      </c>
    </row>
    <row r="3" spans="1:10" hidden="1" x14ac:dyDescent="0.25">
      <c r="A3" s="2">
        <v>1002</v>
      </c>
      <c r="B3" s="2" t="s">
        <v>35</v>
      </c>
      <c r="C3" s="2" t="s">
        <v>42</v>
      </c>
      <c r="D3" s="2">
        <v>2613</v>
      </c>
      <c r="E3" s="2">
        <v>943</v>
      </c>
      <c r="F3" s="2">
        <v>3556</v>
      </c>
      <c r="G3" s="2">
        <v>329</v>
      </c>
      <c r="H3" s="2">
        <v>184</v>
      </c>
      <c r="I3" s="2">
        <v>513</v>
      </c>
      <c r="J3" s="2">
        <v>3043</v>
      </c>
    </row>
    <row r="4" spans="1:10" x14ac:dyDescent="0.25">
      <c r="A4" s="2">
        <v>1003</v>
      </c>
      <c r="B4" s="2" t="s">
        <v>36</v>
      </c>
      <c r="C4" s="2" t="s">
        <v>43</v>
      </c>
      <c r="D4" s="2">
        <v>3339</v>
      </c>
      <c r="E4" s="2">
        <v>642</v>
      </c>
      <c r="F4" s="2">
        <v>3981</v>
      </c>
      <c r="G4" s="2">
        <v>441</v>
      </c>
      <c r="H4" s="2">
        <v>310</v>
      </c>
      <c r="I4" s="2">
        <v>751</v>
      </c>
      <c r="J4" s="2">
        <v>3230</v>
      </c>
    </row>
    <row r="5" spans="1:10" hidden="1" x14ac:dyDescent="0.25">
      <c r="A5" s="2">
        <v>1004</v>
      </c>
      <c r="B5" s="2" t="s">
        <v>37</v>
      </c>
      <c r="C5" s="2" t="s">
        <v>42</v>
      </c>
      <c r="D5" s="2">
        <v>2931</v>
      </c>
      <c r="E5" s="2">
        <v>637</v>
      </c>
      <c r="F5" s="2">
        <v>3568</v>
      </c>
      <c r="G5" s="2">
        <v>338</v>
      </c>
      <c r="H5" s="2">
        <v>65</v>
      </c>
      <c r="I5" s="2">
        <v>403</v>
      </c>
      <c r="J5" s="2">
        <v>3165</v>
      </c>
    </row>
    <row r="6" spans="1:10" hidden="1" x14ac:dyDescent="0.25">
      <c r="A6" s="2">
        <v>1005</v>
      </c>
      <c r="B6" s="2" t="s">
        <v>38</v>
      </c>
      <c r="C6" s="2" t="s">
        <v>42</v>
      </c>
      <c r="D6" s="2">
        <v>3270</v>
      </c>
      <c r="E6" s="2">
        <v>641</v>
      </c>
      <c r="F6" s="2">
        <v>3911</v>
      </c>
      <c r="G6" s="2">
        <v>499</v>
      </c>
      <c r="H6" s="2">
        <v>216</v>
      </c>
      <c r="I6" s="2">
        <v>715</v>
      </c>
      <c r="J6" s="2">
        <v>3196</v>
      </c>
    </row>
    <row r="7" spans="1:10" x14ac:dyDescent="0.25">
      <c r="A7" s="2">
        <v>1006</v>
      </c>
      <c r="B7" s="2" t="s">
        <v>39</v>
      </c>
      <c r="C7" s="2" t="s">
        <v>43</v>
      </c>
      <c r="D7" s="2">
        <v>2436</v>
      </c>
      <c r="E7" s="2">
        <v>841</v>
      </c>
      <c r="F7" s="2">
        <v>3277</v>
      </c>
      <c r="G7" s="2">
        <v>624</v>
      </c>
      <c r="H7" s="2">
        <v>190</v>
      </c>
      <c r="I7" s="2">
        <v>814</v>
      </c>
      <c r="J7" s="2">
        <v>2463</v>
      </c>
    </row>
    <row r="9" spans="1:10" x14ac:dyDescent="0.25">
      <c r="A9" s="5" t="s">
        <v>44</v>
      </c>
      <c r="B9" s="5"/>
      <c r="C9" s="4" t="s">
        <v>46</v>
      </c>
      <c r="D9" t="s">
        <v>45</v>
      </c>
    </row>
    <row r="11" spans="1:10" x14ac:dyDescent="0.25">
      <c r="A11" s="2" t="s">
        <v>25</v>
      </c>
      <c r="B11" s="2" t="s">
        <v>26</v>
      </c>
      <c r="C11" s="2" t="s">
        <v>40</v>
      </c>
      <c r="D11" s="2" t="s">
        <v>27</v>
      </c>
      <c r="E11" s="2" t="s">
        <v>28</v>
      </c>
      <c r="F11" s="2" t="s">
        <v>29</v>
      </c>
      <c r="G11" s="2" t="s">
        <v>30</v>
      </c>
      <c r="H11" s="2" t="s">
        <v>31</v>
      </c>
      <c r="I11" s="2" t="s">
        <v>32</v>
      </c>
      <c r="J11" s="2" t="s">
        <v>33</v>
      </c>
    </row>
    <row r="12" spans="1:10" x14ac:dyDescent="0.25">
      <c r="A12" s="2">
        <v>1003</v>
      </c>
      <c r="B12" s="2" t="s">
        <v>36</v>
      </c>
      <c r="C12" s="2" t="s">
        <v>43</v>
      </c>
      <c r="D12" s="2">
        <v>3339</v>
      </c>
      <c r="E12" s="2">
        <v>642</v>
      </c>
      <c r="F12" s="2">
        <v>3981</v>
      </c>
      <c r="G12" s="2">
        <v>441</v>
      </c>
      <c r="H12" s="2">
        <v>310</v>
      </c>
      <c r="I12" s="2">
        <v>751</v>
      </c>
      <c r="J12" s="2">
        <v>3230</v>
      </c>
    </row>
    <row r="13" spans="1:10" x14ac:dyDescent="0.25">
      <c r="A13" s="2">
        <v>1006</v>
      </c>
      <c r="B13" s="2" t="s">
        <v>39</v>
      </c>
      <c r="C13" s="2" t="s">
        <v>43</v>
      </c>
      <c r="D13" s="2">
        <v>2436</v>
      </c>
      <c r="E13" s="2">
        <v>841</v>
      </c>
      <c r="F13" s="2">
        <v>3277</v>
      </c>
      <c r="G13" s="2">
        <v>624</v>
      </c>
      <c r="H13" s="2">
        <v>190</v>
      </c>
      <c r="I13" s="2">
        <v>814</v>
      </c>
      <c r="J13" s="2">
        <v>2463</v>
      </c>
    </row>
    <row r="14" spans="1:10" x14ac:dyDescent="0.25">
      <c r="A14" s="2" t="str">
        <f t="array" ref="A14">IFERROR(INDEX(A$1:A$7,SMALL(IF($C$2:$C$7=$C$9,ROW($C$2:$C$7),9E+307),ROW(3:3))),"")</f>
        <v/>
      </c>
      <c r="B14" s="2" t="str">
        <f t="array" ref="B14">IFERROR(INDEX(B$1:B$7,SMALL(IF($C$2:$C$7=$C$9,ROW($C$2:$C$7),9E+307),ROW(3:3))),"")</f>
        <v/>
      </c>
      <c r="C14" s="2" t="str">
        <f t="array" ref="C14">IFERROR(INDEX(C$1:C$7,SMALL(IF($C$2:$C$7=$C$9,ROW($C$2:$C$7),9E+307),ROW(3:3))),"")</f>
        <v/>
      </c>
      <c r="D14" s="2" t="str">
        <f t="array" ref="D14">IFERROR(INDEX(D$1:D$7,SMALL(IF($C$2:$C$7=$C$9,ROW($C$2:$C$7),9E+307),ROW(3:3))),"")</f>
        <v/>
      </c>
      <c r="E14" s="2" t="str">
        <f t="array" ref="E14">IFERROR(INDEX(E$1:E$7,SMALL(IF($C$2:$C$7=$C$9,ROW($C$2:$C$7),9E+307),ROW(3:3))),"")</f>
        <v/>
      </c>
      <c r="F14" s="2" t="str">
        <f t="array" ref="F14">IFERROR(INDEX(F$1:F$7,SMALL(IF($C$2:$C$7=$C$9,ROW($C$2:$C$7),9E+307),ROW(3:3))),"")</f>
        <v/>
      </c>
      <c r="G14" s="2" t="str">
        <f t="array" ref="G14">IFERROR(INDEX(G$1:G$7,SMALL(IF($C$2:$C$7=$C$9,ROW($C$2:$C$7),9E+307),ROW(3:3))),"")</f>
        <v/>
      </c>
      <c r="H14" s="2" t="str">
        <f t="array" ref="H14">IFERROR(INDEX(H$1:H$7,SMALL(IF($C$2:$C$7=$C$9,ROW($C$2:$C$7),9E+307),ROW(3:3))),"")</f>
        <v/>
      </c>
      <c r="I14" s="2" t="str">
        <f t="array" ref="I14">IFERROR(INDEX(I$1:I$7,SMALL(IF($C$2:$C$7=$C$9,ROW($C$2:$C$7),9E+307),ROW(3:3))),"")</f>
        <v/>
      </c>
      <c r="J14" s="2" t="str">
        <f t="array" ref="J14">IFERROR(INDEX(J$1:J$7,SMALL(IF($C$2:$C$7=$C$9,ROW($C$2:$C$7),9E+307),ROW(3:3))),"")</f>
        <v/>
      </c>
    </row>
    <row r="15" spans="1:10" x14ac:dyDescent="0.25">
      <c r="A15" s="2" t="str">
        <f t="array" ref="A15">IFERROR(INDEX(A$1:A$7,SMALL(IF($C$2:$C$7=$C$9,ROW($C$2:$C$7),9E+307),ROW(4:4))),"")</f>
        <v/>
      </c>
      <c r="B15" s="2" t="str">
        <f t="array" ref="B15">IFERROR(INDEX(B$1:B$7,SMALL(IF($C$2:$C$7=$C$9,ROW($C$2:$C$7),9E+307),ROW(4:4))),"")</f>
        <v/>
      </c>
      <c r="C15" s="2" t="str">
        <f t="array" ref="C15">IFERROR(INDEX(C$1:C$7,SMALL(IF($C$2:$C$7=$C$9,ROW($C$2:$C$7),9E+307),ROW(4:4))),"")</f>
        <v/>
      </c>
      <c r="D15" s="2" t="str">
        <f t="array" ref="D15">IFERROR(INDEX(D$1:D$7,SMALL(IF($C$2:$C$7=$C$9,ROW($C$2:$C$7),9E+307),ROW(4:4))),"")</f>
        <v/>
      </c>
      <c r="E15" s="2" t="str">
        <f t="array" ref="E15">IFERROR(INDEX(E$1:E$7,SMALL(IF($C$2:$C$7=$C$9,ROW($C$2:$C$7),9E+307),ROW(4:4))),"")</f>
        <v/>
      </c>
      <c r="F15" s="2" t="str">
        <f t="array" ref="F15">IFERROR(INDEX(F$1:F$7,SMALL(IF($C$2:$C$7=$C$9,ROW($C$2:$C$7),9E+307),ROW(4:4))),"")</f>
        <v/>
      </c>
      <c r="G15" s="2" t="str">
        <f t="array" ref="G15">IFERROR(INDEX(G$1:G$7,SMALL(IF($C$2:$C$7=$C$9,ROW($C$2:$C$7),9E+307),ROW(4:4))),"")</f>
        <v/>
      </c>
      <c r="H15" s="2" t="str">
        <f t="array" ref="H15">IFERROR(INDEX(H$1:H$7,SMALL(IF($C$2:$C$7=$C$9,ROW($C$2:$C$7),9E+307),ROW(4:4))),"")</f>
        <v/>
      </c>
      <c r="I15" s="2" t="str">
        <f t="array" ref="I15">IFERROR(INDEX(I$1:I$7,SMALL(IF($C$2:$C$7=$C$9,ROW($C$2:$C$7),9E+307),ROW(4:4))),"")</f>
        <v/>
      </c>
      <c r="J15" s="2" t="str">
        <f t="array" ref="J15">IFERROR(INDEX(J$1:J$7,SMALL(IF($C$2:$C$7=$C$9,ROW($C$2:$C$7),9E+307),ROW(4:4))),"")</f>
        <v/>
      </c>
    </row>
  </sheetData>
  <autoFilter ref="C1:C7" xr:uid="{00000000-0001-0000-0300-000000000000}">
    <filterColumn colId="0">
      <filters>
        <filter val="人力部"/>
      </filters>
    </filterColumn>
  </autoFilter>
  <mergeCells count="1">
    <mergeCell ref="A9:B9"/>
  </mergeCells>
  <phoneticPr fontId="1" type="noConversion"/>
  <dataValidations count="1">
    <dataValidation type="list" allowBlank="1" showInputMessage="1" showErrorMessage="1" sqref="C9" xr:uid="{00000000-0002-0000-0300-000000000000}">
      <formula1>$C$2:$C$4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练习题1</vt:lpstr>
      <vt:lpstr>练习题2</vt:lpstr>
      <vt:lpstr>练习题3</vt:lpstr>
      <vt:lpstr>练习题4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2024-10-26T12:23:47Z</dcterms:modified>
</cp:coreProperties>
</file>