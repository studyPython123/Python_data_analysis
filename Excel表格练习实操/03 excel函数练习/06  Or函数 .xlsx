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C5B4824F-79C2-4741-972F-AECBAB332B3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练习题1" sheetId="1" r:id="rId1"/>
    <sheet name="练习题2" sheetId="3" r:id="rId2"/>
    <sheet name="练习题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2" i="4"/>
  <c r="D4" i="3"/>
  <c r="D5" i="3"/>
  <c r="D3" i="3"/>
  <c r="D4" i="1"/>
  <c r="D5" i="1"/>
  <c r="D6" i="1"/>
  <c r="D7" i="1"/>
  <c r="D3" i="1"/>
  <c r="J4" i="4"/>
  <c r="J3" i="4"/>
  <c r="J2" i="4"/>
  <c r="I4" i="3"/>
  <c r="I5" i="3"/>
  <c r="I3" i="3"/>
  <c r="J4" i="1"/>
  <c r="J5" i="1"/>
  <c r="J6" i="1"/>
  <c r="J7" i="1"/>
  <c r="J3" i="1"/>
</calcChain>
</file>

<file path=xl/sharedStrings.xml><?xml version="1.0" encoding="utf-8"?>
<sst xmlns="http://schemas.openxmlformats.org/spreadsheetml/2006/main" count="40" uniqueCount="35">
  <si>
    <t>姓名</t>
    <phoneticPr fontId="1" type="noConversion"/>
  </si>
  <si>
    <t>语文</t>
    <phoneticPr fontId="1" type="noConversion"/>
  </si>
  <si>
    <t>数学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</si>
  <si>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</si>
  <si>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</si>
  <si>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</si>
  <si>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陈六</t>
    <phoneticPr fontId="1" type="noConversion"/>
  </si>
  <si>
    <t>周七</t>
    <phoneticPr fontId="1" type="noConversion"/>
  </si>
  <si>
    <t>评优考核</t>
    <phoneticPr fontId="1" type="noConversion"/>
  </si>
  <si>
    <t>评选结果</t>
    <phoneticPr fontId="1" type="noConversion"/>
  </si>
  <si>
    <t>注：评优考核条件：</t>
    <phoneticPr fontId="1" type="noConversion"/>
  </si>
  <si>
    <t>姓名</t>
    <phoneticPr fontId="3" type="noConversion"/>
  </si>
  <si>
    <t>笔试成绩</t>
    <phoneticPr fontId="4" type="noConversion"/>
  </si>
  <si>
    <t>面试成绩</t>
    <phoneticPr fontId="3" type="noConversion"/>
  </si>
  <si>
    <t>是否录取</t>
    <phoneticPr fontId="3" type="noConversion"/>
  </si>
  <si>
    <t>王成武</t>
    <phoneticPr fontId="3" type="noConversion"/>
  </si>
  <si>
    <t>李兆新</t>
    <phoneticPr fontId="3" type="noConversion"/>
  </si>
  <si>
    <t>龙飞</t>
    <phoneticPr fontId="3" type="noConversion"/>
  </si>
  <si>
    <t>录取结果</t>
    <phoneticPr fontId="1" type="noConversion"/>
  </si>
  <si>
    <t>姓名</t>
    <phoneticPr fontId="3" type="noConversion"/>
  </si>
  <si>
    <t>是否老员工</t>
    <phoneticPr fontId="3" type="noConversion"/>
  </si>
  <si>
    <t>陈云飞</t>
    <phoneticPr fontId="3" type="noConversion"/>
  </si>
  <si>
    <t>否</t>
    <phoneticPr fontId="3" type="noConversion"/>
  </si>
  <si>
    <t>张顶顶</t>
    <phoneticPr fontId="3" type="noConversion"/>
  </si>
  <si>
    <t>是</t>
    <phoneticPr fontId="3" type="noConversion"/>
  </si>
  <si>
    <t>刘真</t>
    <phoneticPr fontId="3" type="noConversion"/>
  </si>
  <si>
    <t>业绩</t>
    <phoneticPr fontId="4" type="noConversion"/>
  </si>
  <si>
    <t>特殊奖金</t>
    <phoneticPr fontId="3" type="noConversion"/>
  </si>
  <si>
    <t>注：</t>
    <phoneticPr fontId="1" type="noConversion"/>
  </si>
  <si>
    <t>语文成绩不低于90分</t>
    <phoneticPr fontId="1" type="noConversion"/>
  </si>
  <si>
    <t>或者数学成绩不低于90分</t>
    <phoneticPr fontId="1" type="noConversion"/>
  </si>
  <si>
    <t>笔试成绩和面试成绩只要有一科不低于90分，即可录取。</t>
    <phoneticPr fontId="1" type="noConversion"/>
  </si>
  <si>
    <t>否</t>
    <phoneticPr fontId="3" type="noConversion"/>
  </si>
  <si>
    <t>业绩超过3000或者是老员工，即可享有特殊奖金500</t>
    <phoneticPr fontId="1" type="noConversion"/>
  </si>
  <si>
    <t>答案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</si>
</sst>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1" xfId="0" applyFont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0" fillId="2" borderId="1" xfId="0" applyFill="1" applyBorder="1" applyAlignment="1" applyProtection="1">
      <alignment vertical="center"/>
      <protection locked="0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0" fillId="3" borderId="0" xfId="0" applyFill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selection activeCell="F9" sqref="F9"/>
    </sheetView>
  </sheetViews>
  <sheetFormatPr defaultRowHeight="13.8" x14ac:dyDescent="0.25"/>
  <sheetData>
    <row r="1" spans="1:10" x14ac:dyDescent="0.25">
      <c r="A1" s="11" t="s">
        <v>8</v>
      </c>
      <c r="B1" s="11"/>
      <c r="C1" s="11"/>
      <c r="D1" s="11"/>
      <c r="J1" s="10" t="s">
        <v>34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9</v>
      </c>
      <c r="F2" s="12" t="s">
        <v>10</v>
      </c>
      <c r="G2" s="12"/>
      <c r="J2" s="1" t="s">
        <v>9</v>
      </c>
    </row>
    <row r="3" spans="1:10" x14ac:dyDescent="0.25">
      <c r="A3" s="2" t="s">
        <v>3</v>
      </c>
      <c r="B3" s="2">
        <v>92</v>
      </c>
      <c r="C3" s="2">
        <v>99</v>
      </c>
      <c r="D3" s="2" t="str">
        <f>IF(OR(B3&gt;=90,C3&gt;=90),"优","")</f>
        <v>优</v>
      </c>
      <c r="F3" t="s">
        <v>29</v>
      </c>
      <c r="J3" s="2" t="str">
        <f>IF(OR(B3&gt;=90,C3&gt;=90),"优","")</f>
        <v>优</v>
      </c>
    </row>
    <row r="4" spans="1:10" x14ac:dyDescent="0.25">
      <c r="A4" s="2" t="s">
        <v>4</v>
      </c>
      <c r="B4" s="2">
        <v>88</v>
      </c>
      <c r="C4" s="2">
        <v>97</v>
      </c>
      <c r="D4" s="2" t="str">
        <f t="shared" ref="D4:D7" si="0">IF(OR(B4&gt;=90,C4&gt;=90),"优","")</f>
        <v>优</v>
      </c>
      <c r="F4" t="s">
        <v>30</v>
      </c>
      <c r="J4" s="2" t="str">
        <f t="shared" ref="J4:J7" si="1">IF(OR(B4&gt;=90,C4&gt;=90),"优","")</f>
        <v>优</v>
      </c>
    </row>
    <row r="5" spans="1:10" x14ac:dyDescent="0.25">
      <c r="A5" s="2" t="s">
        <v>5</v>
      </c>
      <c r="B5" s="2">
        <v>95</v>
      </c>
      <c r="C5" s="2">
        <v>90</v>
      </c>
      <c r="D5" s="2" t="str">
        <f t="shared" si="0"/>
        <v>优</v>
      </c>
      <c r="J5" s="2" t="str">
        <f t="shared" si="1"/>
        <v>优</v>
      </c>
    </row>
    <row r="6" spans="1:10" x14ac:dyDescent="0.25">
      <c r="A6" s="2" t="s">
        <v>6</v>
      </c>
      <c r="B6" s="2">
        <v>89</v>
      </c>
      <c r="C6" s="2">
        <v>88</v>
      </c>
      <c r="D6" s="2" t="str">
        <f t="shared" si="0"/>
        <v/>
      </c>
      <c r="J6" s="2" t="str">
        <f t="shared" si="1"/>
        <v/>
      </c>
    </row>
    <row r="7" spans="1:10" x14ac:dyDescent="0.25">
      <c r="A7" s="2" t="s">
        <v>7</v>
      </c>
      <c r="B7" s="2">
        <v>85</v>
      </c>
      <c r="C7" s="2">
        <v>100</v>
      </c>
      <c r="D7" s="2" t="str">
        <f t="shared" si="0"/>
        <v>优</v>
      </c>
      <c r="J7" s="2" t="str">
        <f t="shared" si="1"/>
        <v>优</v>
      </c>
    </row>
  </sheetData>
  <mergeCells count="2">
    <mergeCell ref="A1:D1"/>
    <mergeCell ref="F2:G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activeCell="G5" sqref="G5"/>
    </sheetView>
  </sheetViews>
  <sheetFormatPr defaultRowHeight="13.8" x14ac:dyDescent="0.25"/>
  <sheetData>
    <row r="1" spans="1:9" x14ac:dyDescent="0.25">
      <c r="A1" s="12" t="s">
        <v>18</v>
      </c>
      <c r="B1" s="12"/>
      <c r="C1" s="12"/>
      <c r="D1" s="12"/>
      <c r="I1" s="10" t="s">
        <v>34</v>
      </c>
    </row>
    <row r="2" spans="1:9" x14ac:dyDescent="0.25">
      <c r="A2" s="4" t="s">
        <v>11</v>
      </c>
      <c r="B2" s="4" t="s">
        <v>12</v>
      </c>
      <c r="C2" s="5" t="s">
        <v>13</v>
      </c>
      <c r="D2" s="5" t="s">
        <v>14</v>
      </c>
      <c r="I2" s="5" t="s">
        <v>14</v>
      </c>
    </row>
    <row r="3" spans="1:9" x14ac:dyDescent="0.25">
      <c r="A3" s="3" t="s">
        <v>15</v>
      </c>
      <c r="B3" s="3">
        <v>78</v>
      </c>
      <c r="C3" s="3">
        <v>95</v>
      </c>
      <c r="D3" s="3" t="str">
        <f>IF(OR(B3&gt;=90,C3&gt;=90),"录取","淘汰")</f>
        <v>录取</v>
      </c>
      <c r="I3" s="3" t="str">
        <f>IF(OR(B3&gt;=90,C3&gt;=90),"录取","")</f>
        <v>录取</v>
      </c>
    </row>
    <row r="4" spans="1:9" x14ac:dyDescent="0.25">
      <c r="A4" s="3" t="s">
        <v>16</v>
      </c>
      <c r="B4" s="3">
        <v>83</v>
      </c>
      <c r="C4" s="3">
        <v>86</v>
      </c>
      <c r="D4" s="3" t="str">
        <f t="shared" ref="D4:D5" si="0">IF(OR(B4&gt;=90,C4&gt;=90),"录取","淘汰")</f>
        <v>淘汰</v>
      </c>
      <c r="I4" s="3" t="str">
        <f t="shared" ref="I4:I5" si="1">IF(OR(B4&gt;=90,C4&gt;=90),"录取","")</f>
        <v/>
      </c>
    </row>
    <row r="5" spans="1:9" x14ac:dyDescent="0.25">
      <c r="A5" s="3" t="s">
        <v>17</v>
      </c>
      <c r="B5" s="3">
        <v>90</v>
      </c>
      <c r="C5" s="3">
        <v>75</v>
      </c>
      <c r="D5" s="3" t="str">
        <f t="shared" si="0"/>
        <v>录取</v>
      </c>
      <c r="I5" s="3" t="str">
        <f t="shared" si="1"/>
        <v>录取</v>
      </c>
    </row>
    <row r="9" spans="1:9" x14ac:dyDescent="0.25">
      <c r="A9" t="s">
        <v>31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tabSelected="1" workbookViewId="0">
      <selection activeCell="I15" sqref="I15"/>
    </sheetView>
  </sheetViews>
  <sheetFormatPr defaultRowHeight="13.8" x14ac:dyDescent="0.25"/>
  <cols>
    <col min="3" max="3" width="10.33203125" customWidth="1"/>
  </cols>
  <sheetData>
    <row r="1" spans="1:10" x14ac:dyDescent="0.25">
      <c r="A1" s="7" t="s">
        <v>19</v>
      </c>
      <c r="B1" s="7" t="s">
        <v>26</v>
      </c>
      <c r="C1" s="8" t="s">
        <v>20</v>
      </c>
      <c r="D1" s="8" t="s">
        <v>27</v>
      </c>
      <c r="I1" s="10" t="s">
        <v>34</v>
      </c>
      <c r="J1" s="8" t="s">
        <v>27</v>
      </c>
    </row>
    <row r="2" spans="1:10" x14ac:dyDescent="0.25">
      <c r="A2" s="6" t="s">
        <v>21</v>
      </c>
      <c r="B2" s="6">
        <v>3100</v>
      </c>
      <c r="C2" s="6" t="s">
        <v>22</v>
      </c>
      <c r="D2" s="6">
        <f>IF(OR(B2&gt;=3000,C2="是"),500,)</f>
        <v>500</v>
      </c>
      <c r="J2" s="6">
        <f>IF(OR(B2&gt;=3000,C2="是"),500,"")</f>
        <v>500</v>
      </c>
    </row>
    <row r="3" spans="1:10" x14ac:dyDescent="0.25">
      <c r="A3" s="6" t="s">
        <v>23</v>
      </c>
      <c r="B3" s="6">
        <v>2800</v>
      </c>
      <c r="C3" s="6" t="s">
        <v>32</v>
      </c>
      <c r="D3" s="6">
        <f t="shared" ref="D3:D4" si="0">IF(OR(B3&gt;=3000,C3="是"),500,)</f>
        <v>0</v>
      </c>
      <c r="J3" s="6" t="str">
        <f>IF(OR(B3&gt;=3000,C3="是"),500,"")</f>
        <v/>
      </c>
    </row>
    <row r="4" spans="1:10" x14ac:dyDescent="0.25">
      <c r="A4" s="6" t="s">
        <v>25</v>
      </c>
      <c r="B4" s="6">
        <v>3250</v>
      </c>
      <c r="C4" s="6" t="s">
        <v>24</v>
      </c>
      <c r="D4" s="6">
        <f t="shared" si="0"/>
        <v>500</v>
      </c>
      <c r="J4" s="6">
        <f>IF(OR(B4&gt;=3000,C4="是"),500,"")</f>
        <v>500</v>
      </c>
    </row>
    <row r="6" spans="1:10" x14ac:dyDescent="0.25">
      <c r="A6" s="9" t="s">
        <v>28</v>
      </c>
    </row>
    <row r="7" spans="1:10" x14ac:dyDescent="0.25">
      <c r="A7" s="9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练习题1</vt:lpstr>
      <vt:lpstr>练习题2</vt:lpstr>
      <vt:lpstr>练习题3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2024-10-22T15:36:01Z</dcterms:modified>
</cp:coreProperties>
</file>