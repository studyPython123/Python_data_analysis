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D8E6C4A5-30EC-42C2-A61C-AD7581C0DFC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练习题1" sheetId="1" r:id="rId1"/>
    <sheet name="练习题2" sheetId="3" r:id="rId2"/>
    <sheet name="练习题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2" i="2"/>
  <c r="B3" i="2"/>
  <c r="B4" i="2"/>
  <c r="B5" i="2"/>
  <c r="B2" i="2"/>
  <c r="C3" i="3"/>
  <c r="C4" i="3"/>
  <c r="C5" i="3"/>
  <c r="C6" i="3"/>
  <c r="C2" i="3"/>
  <c r="C3" i="1"/>
  <c r="C4" i="1"/>
  <c r="C5" i="1"/>
  <c r="C6" i="1"/>
  <c r="C2" i="1"/>
  <c r="I2" i="1"/>
  <c r="I2" i="2"/>
  <c r="I3" i="2"/>
  <c r="I4" i="2"/>
  <c r="I5" i="2"/>
  <c r="I3" i="3" l="1"/>
  <c r="I4" i="3"/>
  <c r="I5" i="3"/>
  <c r="I6" i="3"/>
  <c r="I2" i="3"/>
  <c r="I3" i="1" l="1"/>
  <c r="I4" i="1"/>
  <c r="I5" i="1"/>
  <c r="I6" i="1"/>
</calcChain>
</file>

<file path=xl/sharedStrings.xml><?xml version="1.0" encoding="utf-8"?>
<sst xmlns="http://schemas.openxmlformats.org/spreadsheetml/2006/main" count="47" uniqueCount="35">
  <si>
    <t>姓名</t>
    <phoneticPr fontId="1" type="noConversion"/>
  </si>
  <si>
    <t>联系邮箱</t>
    <phoneticPr fontId="1" type="noConversion"/>
  </si>
  <si>
    <t>QQ号</t>
    <phoneticPr fontId="1" type="noConversion"/>
  </si>
  <si>
    <t>张三</t>
    <phoneticPr fontId="1" type="noConversion"/>
  </si>
  <si>
    <t>8365142@qq.com</t>
    <phoneticPr fontId="1" type="noConversion"/>
  </si>
  <si>
    <t>李四</t>
    <phoneticPr fontId="1" type="noConversion"/>
  </si>
  <si>
    <t>254695821@qq.com</t>
    <phoneticPr fontId="1" type="noConversion"/>
  </si>
  <si>
    <t>王五</t>
    <phoneticPr fontId="1" type="noConversion"/>
  </si>
  <si>
    <t>65124@qq.com</t>
    <phoneticPr fontId="1" type="noConversion"/>
  </si>
  <si>
    <t>陈六</t>
    <phoneticPr fontId="1" type="noConversion"/>
  </si>
  <si>
    <t>5896412356@qq.com</t>
    <phoneticPr fontId="1" type="noConversion"/>
  </si>
  <si>
    <t>周七</t>
    <phoneticPr fontId="1" type="noConversion"/>
  </si>
  <si>
    <t>15632015@qq.com</t>
    <phoneticPr fontId="1" type="noConversion"/>
  </si>
  <si>
    <t>注：</t>
    <phoneticPr fontId="1" type="noConversion"/>
  </si>
  <si>
    <t>区号</t>
    <phoneticPr fontId="1" type="noConversion"/>
  </si>
  <si>
    <t>联系固话</t>
    <phoneticPr fontId="1" type="noConversion"/>
  </si>
  <si>
    <t>010-68532120</t>
    <phoneticPr fontId="1" type="noConversion"/>
  </si>
  <si>
    <t>021-85432165</t>
    <phoneticPr fontId="1" type="noConversion"/>
  </si>
  <si>
    <t>0573-39654216</t>
    <phoneticPr fontId="1" type="noConversion"/>
  </si>
  <si>
    <t>0988-70658213</t>
    <phoneticPr fontId="1" type="noConversion"/>
  </si>
  <si>
    <t>0591-86523043</t>
    <phoneticPr fontId="1" type="noConversion"/>
  </si>
  <si>
    <t>商品编码</t>
    <phoneticPr fontId="1" type="noConversion"/>
  </si>
  <si>
    <t>材质</t>
    <phoneticPr fontId="1" type="noConversion"/>
  </si>
  <si>
    <t>S1023</t>
    <phoneticPr fontId="1" type="noConversion"/>
  </si>
  <si>
    <t>S2033</t>
    <phoneticPr fontId="1" type="noConversion"/>
  </si>
  <si>
    <t>P201</t>
    <phoneticPr fontId="1" type="noConversion"/>
  </si>
  <si>
    <t>P503k</t>
    <phoneticPr fontId="1" type="noConversion"/>
  </si>
  <si>
    <t>以上商品编码是茶杯的编码</t>
    <phoneticPr fontId="1" type="noConversion"/>
  </si>
  <si>
    <t>字母S开头的是不锈钢材质的茶杯</t>
    <phoneticPr fontId="1" type="noConversion"/>
  </si>
  <si>
    <t>字母P开头的是塑料材质的茶杯</t>
    <phoneticPr fontId="1" type="noConversion"/>
  </si>
  <si>
    <t>用Search、left函数获取区号</t>
    <phoneticPr fontId="1" type="noConversion"/>
  </si>
  <si>
    <t>用search、left函数获取QQ号</t>
    <phoneticPr fontId="1" type="noConversion"/>
  </si>
  <si>
    <t>请用search、if、iferror函数，求出他们对应的材质。</t>
    <phoneticPr fontId="1" type="noConversion"/>
  </si>
  <si>
    <t>答案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</si>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</sst>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D2" sqref="D2"/>
    </sheetView>
  </sheetViews>
  <sheetFormatPr defaultRowHeight="13.8" x14ac:dyDescent="0.25"/>
  <cols>
    <col min="1" max="1" width="8.109375" customWidth="1"/>
    <col min="2" max="2" width="16.88671875" customWidth="1"/>
    <col min="3" max="3" width="10.33203125" customWidth="1"/>
  </cols>
  <sheetData>
    <row r="1" spans="1:9" x14ac:dyDescent="0.25">
      <c r="A1" s="1" t="s">
        <v>0</v>
      </c>
      <c r="B1" s="1" t="s">
        <v>15</v>
      </c>
      <c r="C1" s="1" t="s">
        <v>14</v>
      </c>
      <c r="H1" s="3" t="s">
        <v>33</v>
      </c>
      <c r="I1" s="1" t="s">
        <v>14</v>
      </c>
    </row>
    <row r="2" spans="1:9" x14ac:dyDescent="0.25">
      <c r="A2" s="2" t="s">
        <v>3</v>
      </c>
      <c r="B2" s="2" t="s">
        <v>16</v>
      </c>
      <c r="C2" s="2" t="str">
        <f>LEFT(B2,SEARCH("-",B2)-1)</f>
        <v>010</v>
      </c>
      <c r="I2" s="2" t="str">
        <f>LEFT(B2,SEARCH("-",B2)-1)</f>
        <v>010</v>
      </c>
    </row>
    <row r="3" spans="1:9" x14ac:dyDescent="0.25">
      <c r="A3" s="2" t="s">
        <v>5</v>
      </c>
      <c r="B3" s="2" t="s">
        <v>17</v>
      </c>
      <c r="C3" s="2" t="str">
        <f t="shared" ref="C3:C6" si="0">LEFT(B3,SEARCH("-",B3)-1)</f>
        <v>021</v>
      </c>
      <c r="I3" s="2" t="str">
        <f t="shared" ref="I3:I6" si="1">LEFT(B3,SEARCH("-",B3)-1)</f>
        <v>021</v>
      </c>
    </row>
    <row r="4" spans="1:9" x14ac:dyDescent="0.25">
      <c r="A4" s="2" t="s">
        <v>7</v>
      </c>
      <c r="B4" s="2" t="s">
        <v>18</v>
      </c>
      <c r="C4" s="2" t="str">
        <f t="shared" si="0"/>
        <v>0573</v>
      </c>
      <c r="I4" s="2" t="str">
        <f t="shared" si="1"/>
        <v>0573</v>
      </c>
    </row>
    <row r="5" spans="1:9" x14ac:dyDescent="0.25">
      <c r="A5" s="2" t="s">
        <v>9</v>
      </c>
      <c r="B5" s="2" t="s">
        <v>19</v>
      </c>
      <c r="C5" s="2" t="str">
        <f t="shared" si="0"/>
        <v>0988</v>
      </c>
      <c r="I5" s="2" t="str">
        <f t="shared" si="1"/>
        <v>0988</v>
      </c>
    </row>
    <row r="6" spans="1:9" x14ac:dyDescent="0.25">
      <c r="A6" s="2" t="s">
        <v>11</v>
      </c>
      <c r="B6" s="2" t="s">
        <v>20</v>
      </c>
      <c r="C6" s="2" t="str">
        <f t="shared" si="0"/>
        <v>0591</v>
      </c>
      <c r="I6" s="2" t="str">
        <f t="shared" si="1"/>
        <v>0591</v>
      </c>
    </row>
    <row r="8" spans="1:9" x14ac:dyDescent="0.25">
      <c r="A8" t="s">
        <v>13</v>
      </c>
    </row>
    <row r="9" spans="1:9" x14ac:dyDescent="0.25">
      <c r="A9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D6" sqref="D6"/>
    </sheetView>
  </sheetViews>
  <sheetFormatPr defaultRowHeight="13.8" x14ac:dyDescent="0.25"/>
  <cols>
    <col min="2" max="2" width="19.33203125" customWidth="1"/>
    <col min="3" max="3" width="15.88671875" customWidth="1"/>
    <col min="9" max="9" width="14.33203125" style="6" customWidth="1"/>
  </cols>
  <sheetData>
    <row r="1" spans="1:9" x14ac:dyDescent="0.25">
      <c r="A1" s="1" t="s">
        <v>0</v>
      </c>
      <c r="B1" s="1" t="s">
        <v>1</v>
      </c>
      <c r="C1" s="1" t="s">
        <v>2</v>
      </c>
      <c r="H1" s="3" t="s">
        <v>34</v>
      </c>
      <c r="I1" s="4" t="s">
        <v>2</v>
      </c>
    </row>
    <row r="2" spans="1:9" x14ac:dyDescent="0.25">
      <c r="A2" s="2" t="s">
        <v>3</v>
      </c>
      <c r="B2" s="2" t="s">
        <v>4</v>
      </c>
      <c r="C2" s="2" t="str">
        <f>LEFT(B2,SEARCH("@",B2)-1)</f>
        <v>8365142</v>
      </c>
      <c r="I2" s="5" t="str">
        <f>LEFT(B2,SEARCH("@",B2)-1)</f>
        <v>8365142</v>
      </c>
    </row>
    <row r="3" spans="1:9" x14ac:dyDescent="0.25">
      <c r="A3" s="2" t="s">
        <v>5</v>
      </c>
      <c r="B3" s="2" t="s">
        <v>6</v>
      </c>
      <c r="C3" s="2" t="str">
        <f t="shared" ref="C3:C6" si="0">LEFT(B3,SEARCH("@",B3)-1)</f>
        <v>254695821</v>
      </c>
      <c r="I3" s="5" t="str">
        <f t="shared" ref="I3:I6" si="1">LEFT(B3,SEARCH("@",B3)-1)</f>
        <v>254695821</v>
      </c>
    </row>
    <row r="4" spans="1:9" x14ac:dyDescent="0.25">
      <c r="A4" s="2" t="s">
        <v>7</v>
      </c>
      <c r="B4" s="2" t="s">
        <v>8</v>
      </c>
      <c r="C4" s="2" t="str">
        <f t="shared" si="0"/>
        <v>65124</v>
      </c>
      <c r="I4" s="5" t="str">
        <f t="shared" si="1"/>
        <v>65124</v>
      </c>
    </row>
    <row r="5" spans="1:9" x14ac:dyDescent="0.25">
      <c r="A5" s="2" t="s">
        <v>9</v>
      </c>
      <c r="B5" s="2" t="s">
        <v>10</v>
      </c>
      <c r="C5" s="2" t="str">
        <f t="shared" si="0"/>
        <v>5896412356</v>
      </c>
      <c r="I5" s="5" t="str">
        <f t="shared" si="1"/>
        <v>5896412356</v>
      </c>
    </row>
    <row r="6" spans="1:9" x14ac:dyDescent="0.25">
      <c r="A6" s="2" t="s">
        <v>11</v>
      </c>
      <c r="B6" s="2" t="s">
        <v>12</v>
      </c>
      <c r="C6" s="2" t="str">
        <f t="shared" si="0"/>
        <v>15632015</v>
      </c>
      <c r="I6" s="5" t="str">
        <f t="shared" si="1"/>
        <v>15632015</v>
      </c>
    </row>
    <row r="8" spans="1:9" x14ac:dyDescent="0.25">
      <c r="A8" t="s">
        <v>13</v>
      </c>
    </row>
    <row r="9" spans="1:9" x14ac:dyDescent="0.25">
      <c r="A9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tabSelected="1" workbookViewId="0">
      <selection activeCell="E5" sqref="E5"/>
    </sheetView>
  </sheetViews>
  <sheetFormatPr defaultRowHeight="13.8" x14ac:dyDescent="0.25"/>
  <cols>
    <col min="9" max="9" width="9" style="6"/>
  </cols>
  <sheetData>
    <row r="1" spans="1:9" x14ac:dyDescent="0.25">
      <c r="A1" s="1" t="s">
        <v>21</v>
      </c>
      <c r="B1" s="1" t="s">
        <v>22</v>
      </c>
      <c r="H1" s="3" t="s">
        <v>34</v>
      </c>
      <c r="I1" s="4" t="s">
        <v>22</v>
      </c>
    </row>
    <row r="2" spans="1:9" x14ac:dyDescent="0.25">
      <c r="A2" s="2" t="s">
        <v>23</v>
      </c>
      <c r="B2" s="2" t="str">
        <f>IF(LEFT(A2,1)="S","不锈钢","塑料")</f>
        <v>不锈钢</v>
      </c>
      <c r="C2" t="str">
        <f>IF(IFERROR(SEARCH("S",A2),0)=1,"不锈钢","塑料")</f>
        <v>不锈钢</v>
      </c>
      <c r="I2" s="5" t="str">
        <f>IF(IFERROR(SEARCH("S",A2),0)=1,"不锈钢","塑料")</f>
        <v>不锈钢</v>
      </c>
    </row>
    <row r="3" spans="1:9" x14ac:dyDescent="0.25">
      <c r="A3" s="2" t="s">
        <v>24</v>
      </c>
      <c r="B3" s="2" t="str">
        <f t="shared" ref="B3:B5" si="0">IF(LEFT(A3,1)="S","不锈钢","塑料")</f>
        <v>不锈钢</v>
      </c>
      <c r="C3" t="str">
        <f t="shared" ref="C3:C5" si="1">IF(IFERROR(SEARCH("S",A3),0)=1,"不锈钢","塑料")</f>
        <v>不锈钢</v>
      </c>
      <c r="I3" s="5" t="str">
        <f t="shared" ref="I3:I5" si="2">IF(IFERROR(SEARCH("S",A3),0)=1,"不锈钢","塑料")</f>
        <v>不锈钢</v>
      </c>
    </row>
    <row r="4" spans="1:9" x14ac:dyDescent="0.25">
      <c r="A4" s="2" t="s">
        <v>25</v>
      </c>
      <c r="B4" s="2" t="str">
        <f t="shared" si="0"/>
        <v>塑料</v>
      </c>
      <c r="C4" t="str">
        <f t="shared" si="1"/>
        <v>塑料</v>
      </c>
      <c r="I4" s="5" t="str">
        <f t="shared" si="2"/>
        <v>塑料</v>
      </c>
    </row>
    <row r="5" spans="1:9" x14ac:dyDescent="0.25">
      <c r="A5" s="2" t="s">
        <v>26</v>
      </c>
      <c r="B5" s="2" t="str">
        <f t="shared" si="0"/>
        <v>塑料</v>
      </c>
      <c r="C5" t="str">
        <f t="shared" si="1"/>
        <v>塑料</v>
      </c>
      <c r="I5" s="5" t="str">
        <f t="shared" si="2"/>
        <v>塑料</v>
      </c>
    </row>
    <row r="6" spans="1:9" x14ac:dyDescent="0.25">
      <c r="A6" s="9"/>
    </row>
    <row r="8" spans="1:9" x14ac:dyDescent="0.25">
      <c r="A8" t="s">
        <v>13</v>
      </c>
      <c r="I8" s="7"/>
    </row>
    <row r="9" spans="1:9" x14ac:dyDescent="0.25">
      <c r="A9" t="s">
        <v>27</v>
      </c>
    </row>
    <row r="10" spans="1:9" ht="15" x14ac:dyDescent="0.25">
      <c r="A10" t="s">
        <v>28</v>
      </c>
      <c r="I10" s="8"/>
    </row>
    <row r="11" spans="1:9" x14ac:dyDescent="0.25">
      <c r="A11" t="s">
        <v>29</v>
      </c>
    </row>
    <row r="12" spans="1:9" x14ac:dyDescent="0.25">
      <c r="A12" t="s">
        <v>32</v>
      </c>
    </row>
    <row r="16" spans="1:9" ht="15" x14ac:dyDescent="0.25">
      <c r="H1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练习题1</vt:lpstr>
      <vt:lpstr>练习题2</vt:lpstr>
      <vt:lpstr>练习题3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2024-10-23T09:29:04Z</dcterms:modified>
</cp:coreProperties>
</file>