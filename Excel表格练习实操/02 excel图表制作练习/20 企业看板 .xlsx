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2 excel图表制作练习\"/>
    </mc:Choice>
  </mc:AlternateContent>
  <xr:revisionPtr revIDLastSave="0" documentId="13_ncr:1_{7C3B8660-D207-4B28-B755-4864A7FB8953}" xr6:coauthVersionLast="47" xr6:coauthVersionMax="47" xr10:uidLastSave="{00000000-0000-0000-0000-000000000000}"/>
  <bookViews>
    <workbookView xWindow="-108" yWindow="-108" windowWidth="23256" windowHeight="12456" activeTab="3" xr2:uid="{141C0FD2-4F99-4B7B-9BE7-C29D9838ACF4}"/>
  </bookViews>
  <sheets>
    <sheet name="Sheet5" sheetId="5" r:id="rId1"/>
    <sheet name="Sheet4" sheetId="4" r:id="rId2"/>
    <sheet name="案例一" sheetId="1" r:id="rId3"/>
    <sheet name="Sheet2" sheetId="2" r:id="rId4"/>
    <sheet name="案例二" sheetId="3" r:id="rId5"/>
  </sheets>
  <definedNames>
    <definedName name="切片器_项目">#N/A</definedName>
    <definedName name="切片器_项目1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3" l="1"/>
  <c r="L14" i="3"/>
  <c r="K14" i="3"/>
  <c r="M14" i="3"/>
  <c r="N14" i="3"/>
  <c r="J14" i="3"/>
  <c r="I14" i="3"/>
  <c r="G5" i="3"/>
  <c r="G8" i="3"/>
  <c r="G11" i="3"/>
  <c r="G12" i="3"/>
  <c r="G13" i="3"/>
  <c r="B14" i="3"/>
  <c r="C14" i="3"/>
  <c r="D14" i="3"/>
  <c r="E14" i="3"/>
  <c r="F2" i="3"/>
  <c r="G2" i="3" s="1"/>
  <c r="F3" i="3"/>
  <c r="G3" i="3" s="1"/>
  <c r="F4" i="3"/>
  <c r="G4" i="3" s="1"/>
  <c r="F5" i="3"/>
  <c r="F6" i="3"/>
  <c r="G6" i="3" s="1"/>
  <c r="F7" i="3"/>
  <c r="G7" i="3" s="1"/>
  <c r="F8" i="3"/>
  <c r="F9" i="3"/>
  <c r="G9" i="3" s="1"/>
  <c r="F10" i="3"/>
  <c r="G10" i="3" s="1"/>
  <c r="F11" i="3"/>
  <c r="F12" i="3"/>
  <c r="F13" i="3"/>
  <c r="F14" i="3" l="1"/>
  <c r="N15" i="3"/>
  <c r="O15" i="3" s="1"/>
  <c r="F36" i="1" l="1"/>
</calcChain>
</file>

<file path=xl/sharedStrings.xml><?xml version="1.0" encoding="utf-8"?>
<sst xmlns="http://schemas.openxmlformats.org/spreadsheetml/2006/main" count="239" uniqueCount="75">
  <si>
    <t>日期</t>
  </si>
  <si>
    <t>日期</t>
    <phoneticPr fontId="2" type="noConversion"/>
  </si>
  <si>
    <t>子公司</t>
  </si>
  <si>
    <t>子公司</t>
    <phoneticPr fontId="2" type="noConversion"/>
  </si>
  <si>
    <t>项目</t>
  </si>
  <si>
    <t>项目</t>
    <phoneticPr fontId="2" type="noConversion"/>
  </si>
  <si>
    <t>完成</t>
  </si>
  <si>
    <t>完成</t>
    <phoneticPr fontId="2" type="noConversion"/>
  </si>
  <si>
    <t>目标</t>
  </si>
  <si>
    <t>目标</t>
    <phoneticPr fontId="2" type="noConversion"/>
  </si>
  <si>
    <t>地区</t>
  </si>
  <si>
    <t>地区</t>
    <phoneticPr fontId="2" type="noConversion"/>
  </si>
  <si>
    <t>广州公司</t>
    <phoneticPr fontId="2" type="noConversion"/>
  </si>
  <si>
    <t>上海公司</t>
    <phoneticPr fontId="2" type="noConversion"/>
  </si>
  <si>
    <t>杭州公司</t>
    <phoneticPr fontId="2" type="noConversion"/>
  </si>
  <si>
    <t>北京公司</t>
    <phoneticPr fontId="2" type="noConversion"/>
  </si>
  <si>
    <t>托管数量（个）</t>
    <phoneticPr fontId="2" type="noConversion"/>
  </si>
  <si>
    <t>托管金额（万元）</t>
  </si>
  <si>
    <t>托管金额（万元）</t>
    <phoneticPr fontId="2" type="noConversion"/>
  </si>
  <si>
    <t>合作协议（个）</t>
  </si>
  <si>
    <t>合作协议（个）</t>
    <phoneticPr fontId="2" type="noConversion"/>
  </si>
  <si>
    <t>合作协议金额（万元）</t>
    <phoneticPr fontId="2" type="noConversion"/>
  </si>
  <si>
    <t>两费到账金额（万元）</t>
    <phoneticPr fontId="2" type="noConversion"/>
  </si>
  <si>
    <t>服务费到账金额（万元）</t>
    <phoneticPr fontId="2" type="noConversion"/>
  </si>
  <si>
    <t>经营收入（万元）</t>
    <phoneticPr fontId="2" type="noConversion"/>
  </si>
  <si>
    <t>深圳公司</t>
  </si>
  <si>
    <t>深圳公司</t>
    <phoneticPr fontId="2" type="noConversion"/>
  </si>
  <si>
    <t>湖南公司</t>
    <phoneticPr fontId="2" type="noConversion"/>
  </si>
  <si>
    <t>重庆公司</t>
    <phoneticPr fontId="2" type="noConversion"/>
  </si>
  <si>
    <t>佛山公司</t>
    <phoneticPr fontId="2" type="noConversion"/>
  </si>
  <si>
    <t>广州</t>
  </si>
  <si>
    <t>广州</t>
    <phoneticPr fontId="2" type="noConversion"/>
  </si>
  <si>
    <t>上海</t>
  </si>
  <si>
    <t>杭州</t>
  </si>
  <si>
    <t>北京</t>
  </si>
  <si>
    <t>上海</t>
    <phoneticPr fontId="2" type="noConversion"/>
  </si>
  <si>
    <t>深圳</t>
  </si>
  <si>
    <t>杭州</t>
    <phoneticPr fontId="2" type="noConversion"/>
  </si>
  <si>
    <t>北京</t>
    <phoneticPr fontId="2" type="noConversion"/>
  </si>
  <si>
    <t>深圳</t>
    <phoneticPr fontId="2" type="noConversion"/>
  </si>
  <si>
    <t>湖南</t>
  </si>
  <si>
    <t>湖南</t>
    <phoneticPr fontId="2" type="noConversion"/>
  </si>
  <si>
    <t>重庆</t>
  </si>
  <si>
    <t>佛山</t>
  </si>
  <si>
    <t>重庆</t>
    <phoneticPr fontId="2" type="noConversion"/>
  </si>
  <si>
    <t>佛山</t>
    <phoneticPr fontId="2" type="noConversion"/>
  </si>
  <si>
    <t>行标签</t>
  </si>
  <si>
    <t>总计</t>
  </si>
  <si>
    <t>求和项:目标</t>
  </si>
  <si>
    <t>求和项:完成</t>
  </si>
  <si>
    <t>月份</t>
    <phoneticPr fontId="2" type="noConversion"/>
  </si>
  <si>
    <t>鼠标</t>
    <phoneticPr fontId="2" type="noConversion"/>
  </si>
  <si>
    <t>键盘</t>
    <phoneticPr fontId="2" type="noConversion"/>
  </si>
  <si>
    <t>显示器</t>
    <phoneticPr fontId="2" type="noConversion"/>
  </si>
  <si>
    <t>主机</t>
    <phoneticPr fontId="2" type="noConversion"/>
  </si>
  <si>
    <t>销售额</t>
    <phoneticPr fontId="2" type="noConversion"/>
  </si>
  <si>
    <t>1月</t>
    <phoneticPr fontId="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</si>
  <si>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</si>
  <si>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</si>
  <si>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</si>
  <si>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</si>
  <si>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</si>
  <si>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</si>
  <si>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</si>
  <si>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</si>
  <si>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</si>
  <si>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</si>
  <si>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</si>
  <si>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  <phoneticPr fontId="2" type="noConversion"/>
  </si>
  <si>
    <t>求和项:差额</t>
  </si>
  <si>
    <t xml:space="preserve">   各地区关键项目统计完成表 </t>
    <phoneticPr fontId="2" type="noConversion"/>
  </si>
  <si>
    <t>成交趋势</t>
    <phoneticPr fontId="2" type="noConversion"/>
  </si>
  <si>
    <t>累计完成</t>
    <phoneticPr fontId="2" type="noConversion"/>
  </si>
  <si>
    <t>完成率</t>
    <phoneticPr fontId="2" type="noConversion"/>
  </si>
  <si>
    <t>月度指标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</si>
</sst>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黑体"/>
      <family val="2"/>
      <charset val="134"/>
    </font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11"/>
      <color rgb="FF70D5F7"/>
      <name val="黑体"/>
      <family val="2"/>
      <charset val="134"/>
    </font>
    <font>
      <sz val="11"/>
      <color rgb="FF70D5F7"/>
      <name val="黑体"/>
      <family val="3"/>
      <charset val="134"/>
    </font>
    <font>
      <sz val="11"/>
      <color rgb="FF70D5F7"/>
      <name val="汉仪旗黑-55S"/>
      <family val="1"/>
      <charset val="134"/>
    </font>
    <font>
      <sz val="14"/>
      <color rgb="FF70D5F7"/>
      <name val="汉仪旗黑-55S"/>
      <family val="1"/>
      <charset val="134"/>
    </font>
    <font>
      <sz val="11"/>
      <color rgb="FF31849C"/>
      <name val="黑体"/>
      <family val="2"/>
      <charset val="134"/>
    </font>
    <font>
      <sz val="11"/>
      <color rgb="FFBD0000"/>
      <name val="黑体"/>
      <family val="2"/>
      <charset val="134"/>
    </font>
    <font>
      <sz val="22"/>
      <color theme="0"/>
      <name val="汉仪旗黑-75W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1D3758"/>
        <bgColor indexed="64"/>
      </patternFill>
    </fill>
    <fill>
      <patternFill patternType="solid">
        <fgColor rgb="FF24456E"/>
        <bgColor indexed="64"/>
      </patternFill>
    </fill>
    <fill>
      <patternFill patternType="solid">
        <fgColor rgb="FF1D212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24456E"/>
      </bottom>
      <diagonal/>
    </border>
    <border>
      <left style="thin">
        <color rgb="FF274F91"/>
      </left>
      <right style="thin">
        <color rgb="FF274F91"/>
      </right>
      <top style="thin">
        <color rgb="FF274F91"/>
      </top>
      <bottom style="thin">
        <color rgb="FF274F9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2" fontId="3" fillId="2" borderId="0" xfId="0" applyNumberFormat="1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9" fontId="3" fillId="2" borderId="2" xfId="1" applyFont="1" applyFill="1" applyBorder="1" applyAlignment="1">
      <alignment horizontal="center" vertical="center"/>
    </xf>
    <xf numFmtId="9" fontId="0" fillId="2" borderId="0" xfId="0" applyNumberFormat="1" applyFill="1">
      <alignment vertical="center"/>
    </xf>
    <xf numFmtId="2" fontId="3" fillId="2" borderId="2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7" fillId="4" borderId="0" xfId="0" applyFont="1" applyFill="1">
      <alignment vertical="center"/>
    </xf>
    <xf numFmtId="0" fontId="0" fillId="4" borderId="0" xfId="0" applyFill="1" applyAlignment="1">
      <alignment horizontal="left" vertical="center"/>
    </xf>
    <xf numFmtId="0" fontId="8" fillId="4" borderId="0" xfId="0" applyFont="1" applyFill="1">
      <alignment vertical="center"/>
    </xf>
    <xf numFmtId="0" fontId="9" fillId="4" borderId="0" xfId="0" applyFont="1" applyFill="1" applyAlignment="1">
      <alignment horizontal="left" vertical="center"/>
    </xf>
    <xf numFmtId="0" fontId="0" fillId="0" borderId="0" xfId="0" applyNumberFormat="1">
      <alignment vertical="center"/>
    </xf>
    <xf numFmtId="0" fontId="0" fillId="4" borderId="0" xfId="0" applyNumberFormat="1" applyFill="1">
      <alignment vertical="center"/>
    </xf>
  </cellXfs>
  <cellStyles count="2">
    <cellStyle name="百分比" xfId="1" builtinId="5"/>
    <cellStyle name="常规" xfId="0" builtinId="0"/>
  </cellStyles>
  <dxfs count="22"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fill>
        <patternFill>
          <bgColor rgb="FF1D212F"/>
        </patternFill>
      </fill>
    </dxf>
    <dxf>
      <numFmt numFmtId="19" formatCode="yyyy/m/d"/>
    </dxf>
    <dxf>
      <fill>
        <patternFill patternType="none">
          <bgColor auto="1"/>
        </patternFill>
      </fill>
    </dxf>
    <dxf>
      <font>
        <sz val="14"/>
        <color theme="1" tint="0.14996795556505021"/>
        <name val="汉仪旗黑-55S"/>
        <family val="1"/>
        <charset val="134"/>
        <scheme val="none"/>
      </font>
      <fill>
        <patternFill patternType="solid">
          <bgColor rgb="FF1D212F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rgb="FF18315A"/>
        </patternFill>
      </fill>
    </dxf>
  </dxfs>
  <tableStyles count="4" defaultTableStyle="TableStyleMedium2" defaultPivotStyle="PivotStyleLight16">
    <tableStyle name="切片器样式 1" pivot="0" table="0" count="1" xr9:uid="{5E521091-308A-4836-A4F6-0966E58D41A7}">
      <tableStyleElement type="wholeTable" dxfId="21"/>
    </tableStyle>
    <tableStyle name="切片器样式 2" pivot="0" table="0" count="8" xr9:uid="{590407F8-EC42-45A2-B141-876C697084F5}">
      <tableStyleElement type="wholeTable" dxfId="20"/>
    </tableStyle>
    <tableStyle name="切片器样式 3" pivot="0" table="0" count="1" xr9:uid="{0ED9E422-88DD-45D2-BFF2-7B042713F4EB}">
      <tableStyleElement type="wholeTable" dxfId="19"/>
    </tableStyle>
    <tableStyle name="切片器样式 4" pivot="0" table="0" count="0" xr9:uid="{A62B2772-31ED-46BC-8DEE-F4E7053840CC}"/>
  </tableStyles>
  <colors>
    <mruColors>
      <color rgb="FF91DED2"/>
      <color rgb="FF90DED2"/>
      <color rgb="FFF4D54A"/>
      <color rgb="FF1D212F"/>
      <color rgb="FF274F91"/>
      <color rgb="FF18315A"/>
      <color rgb="FF44AAE6"/>
      <color rgb="FF70D5F7"/>
      <color rgb="FF299CE3"/>
      <color rgb="FF1D3B6D"/>
    </mruColors>
  </colors>
  <extLst>
    <ext xmlns:x14="http://schemas.microsoft.com/office/spreadsheetml/2009/9/main" uri="{46F421CA-312F-682f-3DD2-61675219B42D}">
      <x14:dxfs count="7">
        <dxf>
          <fill>
            <patternFill>
              <bgColor rgb="FF91DED2"/>
            </patternFill>
          </fill>
        </dxf>
        <dxf>
          <fill>
            <patternFill>
              <bgColor rgb="FF90DED2"/>
            </patternFill>
          </fill>
        </dxf>
        <dxf>
          <fill>
            <patternFill>
              <bgColor rgb="FF91DED2"/>
            </patternFill>
          </fill>
        </dxf>
        <dxf>
          <fill>
            <patternFill>
              <bgColor rgb="FF90DED2"/>
            </patternFill>
          </fill>
        </dxf>
        <dxf>
          <fill>
            <patternFill>
              <bgColor rgb="FF91DED2"/>
            </patternFill>
          </fill>
        </dxf>
        <dxf>
          <fill>
            <patternFill>
              <bgColor rgb="FF90DED2"/>
            </patternFill>
          </fill>
        </dxf>
        <dxf>
          <fill>
            <patternFill>
              <bgColor rgb="FFF4D54A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切片器样式 1"/>
        <x14:slicerStyle name="切片器样式 2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  <x14:slicerStyle name="切片器样式 3"/>
        <x14:slicerStyle name="切片器样式 4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 企业看板 .xlsx]Sheet4!数据透视表2</c:name>
    <c:fmtId val="0"/>
  </c:pivotSource>
  <c:chart>
    <c:autoTitleDeleted val="0"/>
    <c:pivotFmts>
      <c:pivotFmt>
        <c:idx val="0"/>
        <c:spPr>
          <a:solidFill>
            <a:srgbClr val="F4D5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1DE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1DED2"/>
          </a:solidFill>
          <a:ln>
            <a:noFill/>
          </a:ln>
          <a:effectLst/>
        </c:spPr>
      </c:pivotFmt>
      <c:pivotFmt>
        <c:idx val="3"/>
        <c:spPr>
          <a:solidFill>
            <a:srgbClr val="91DED2"/>
          </a:solidFill>
          <a:ln>
            <a:noFill/>
          </a:ln>
          <a:effectLst/>
        </c:spPr>
      </c:pivotFmt>
      <c:pivotFmt>
        <c:idx val="4"/>
        <c:spPr>
          <a:solidFill>
            <a:srgbClr val="91DED2"/>
          </a:solidFill>
          <a:ln>
            <a:noFill/>
          </a:ln>
          <a:effectLst/>
        </c:spPr>
      </c:pivotFmt>
      <c:pivotFmt>
        <c:idx val="5"/>
        <c:spPr>
          <a:solidFill>
            <a:srgbClr val="91DED2"/>
          </a:solidFill>
          <a:ln>
            <a:noFill/>
          </a:ln>
          <a:effectLst/>
        </c:spPr>
      </c:pivotFmt>
      <c:pivotFmt>
        <c:idx val="6"/>
        <c:spPr>
          <a:solidFill>
            <a:srgbClr val="91DED2"/>
          </a:solidFill>
          <a:ln>
            <a:noFill/>
          </a:ln>
          <a:effectLst/>
        </c:spPr>
      </c:pivotFmt>
      <c:pivotFmt>
        <c:idx val="7"/>
        <c:spPr>
          <a:solidFill>
            <a:srgbClr val="91DED2"/>
          </a:solidFill>
          <a:ln>
            <a:noFill/>
          </a:ln>
          <a:effectLst/>
        </c:spPr>
      </c:pivotFmt>
      <c:pivotFmt>
        <c:idx val="8"/>
        <c:spPr>
          <a:solidFill>
            <a:srgbClr val="91DED2"/>
          </a:solidFill>
          <a:ln>
            <a:noFill/>
          </a:ln>
          <a:effectLst/>
        </c:spPr>
      </c:pivotFmt>
      <c:pivotFmt>
        <c:idx val="9"/>
        <c:spPr>
          <a:solidFill>
            <a:srgbClr val="91DED2"/>
          </a:solidFill>
          <a:ln>
            <a:noFill/>
          </a:ln>
          <a:effectLst/>
        </c:spPr>
      </c:pivotFmt>
      <c:pivotFmt>
        <c:idx val="10"/>
        <c:spPr>
          <a:solidFill>
            <a:srgbClr val="F4D54A"/>
          </a:solidFill>
          <a:ln>
            <a:noFill/>
          </a:ln>
          <a:effectLst/>
        </c:spPr>
      </c:pivotFmt>
      <c:pivotFmt>
        <c:idx val="11"/>
        <c:spPr>
          <a:solidFill>
            <a:srgbClr val="F4D54A"/>
          </a:solidFill>
          <a:ln>
            <a:noFill/>
          </a:ln>
          <a:effectLst/>
        </c:spPr>
      </c:pivotFmt>
      <c:pivotFmt>
        <c:idx val="12"/>
        <c:spPr>
          <a:solidFill>
            <a:srgbClr val="F4D54A"/>
          </a:solidFill>
          <a:ln>
            <a:noFill/>
          </a:ln>
          <a:effectLst/>
        </c:spPr>
      </c:pivotFmt>
      <c:pivotFmt>
        <c:idx val="13"/>
        <c:spPr>
          <a:solidFill>
            <a:srgbClr val="F4D54A"/>
          </a:solidFill>
          <a:ln>
            <a:noFill/>
          </a:ln>
          <a:effectLst/>
        </c:spPr>
      </c:pivotFmt>
      <c:pivotFmt>
        <c:idx val="14"/>
        <c:spPr>
          <a:solidFill>
            <a:srgbClr val="F4D54A"/>
          </a:solidFill>
          <a:ln>
            <a:noFill/>
          </a:ln>
          <a:effectLst/>
        </c:spPr>
      </c:pivotFmt>
      <c:pivotFmt>
        <c:idx val="15"/>
        <c:spPr>
          <a:solidFill>
            <a:srgbClr val="F4D54A"/>
          </a:solidFill>
          <a:ln>
            <a:noFill/>
          </a:ln>
          <a:effectLst/>
        </c:spPr>
      </c:pivotFmt>
      <c:pivotFmt>
        <c:idx val="16"/>
        <c:spPr>
          <a:solidFill>
            <a:srgbClr val="F4D54A"/>
          </a:solidFill>
          <a:ln>
            <a:noFill/>
          </a:ln>
          <a:effectLst/>
        </c:spPr>
      </c:pivotFmt>
      <c:pivotFmt>
        <c:idx val="17"/>
        <c:spPr>
          <a:solidFill>
            <a:srgbClr val="F4D54A"/>
          </a:solidFill>
          <a:ln>
            <a:noFill/>
          </a:ln>
          <a:effectLst/>
        </c:spP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求和项:完成</c:v>
                </c:pt>
              </c:strCache>
            </c:strRef>
          </c:tx>
          <c:spPr>
            <a:solidFill>
              <a:srgbClr val="F4D54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4D5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3B8-467A-8656-9BE9264D8FE5}"/>
              </c:ext>
            </c:extLst>
          </c:dPt>
          <c:dPt>
            <c:idx val="1"/>
            <c:invertIfNegative val="0"/>
            <c:bubble3D val="0"/>
            <c:spPr>
              <a:solidFill>
                <a:srgbClr val="F4D5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3B8-467A-8656-9BE9264D8FE5}"/>
              </c:ext>
            </c:extLst>
          </c:dPt>
          <c:dPt>
            <c:idx val="2"/>
            <c:invertIfNegative val="0"/>
            <c:bubble3D val="0"/>
            <c:spPr>
              <a:solidFill>
                <a:srgbClr val="F4D5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3B8-467A-8656-9BE9264D8FE5}"/>
              </c:ext>
            </c:extLst>
          </c:dPt>
          <c:dPt>
            <c:idx val="3"/>
            <c:invertIfNegative val="0"/>
            <c:bubble3D val="0"/>
            <c:spPr>
              <a:solidFill>
                <a:srgbClr val="F4D5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3B8-467A-8656-9BE9264D8FE5}"/>
              </c:ext>
            </c:extLst>
          </c:dPt>
          <c:dPt>
            <c:idx val="4"/>
            <c:invertIfNegative val="0"/>
            <c:bubble3D val="0"/>
            <c:spPr>
              <a:solidFill>
                <a:srgbClr val="F4D5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B8-467A-8656-9BE9264D8FE5}"/>
              </c:ext>
            </c:extLst>
          </c:dPt>
          <c:dPt>
            <c:idx val="5"/>
            <c:invertIfNegative val="0"/>
            <c:bubble3D val="0"/>
            <c:spPr>
              <a:solidFill>
                <a:srgbClr val="F4D5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3B8-467A-8656-9BE9264D8FE5}"/>
              </c:ext>
            </c:extLst>
          </c:dPt>
          <c:dPt>
            <c:idx val="6"/>
            <c:invertIfNegative val="0"/>
            <c:bubble3D val="0"/>
            <c:spPr>
              <a:solidFill>
                <a:srgbClr val="F4D5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3B8-467A-8656-9BE9264D8FE5}"/>
              </c:ext>
            </c:extLst>
          </c:dPt>
          <c:dPt>
            <c:idx val="7"/>
            <c:invertIfNegative val="0"/>
            <c:bubble3D val="0"/>
            <c:spPr>
              <a:solidFill>
                <a:srgbClr val="F4D5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3B8-467A-8656-9BE9264D8FE5}"/>
              </c:ext>
            </c:extLst>
          </c:dPt>
          <c:cat>
            <c:strRef>
              <c:f>Sheet4!$A$4:$A$12</c:f>
              <c:strCache>
                <c:ptCount val="8"/>
                <c:pt idx="0">
                  <c:v>北京</c:v>
                </c:pt>
                <c:pt idx="1">
                  <c:v>上海</c:v>
                </c:pt>
                <c:pt idx="2">
                  <c:v>深圳</c:v>
                </c:pt>
                <c:pt idx="3">
                  <c:v>广州</c:v>
                </c:pt>
                <c:pt idx="4">
                  <c:v>杭州</c:v>
                </c:pt>
                <c:pt idx="5">
                  <c:v>佛山</c:v>
                </c:pt>
                <c:pt idx="6">
                  <c:v>湖南</c:v>
                </c:pt>
                <c:pt idx="7">
                  <c:v>重庆</c:v>
                </c:pt>
              </c:strCache>
            </c:strRef>
          </c:cat>
          <c:val>
            <c:numRef>
              <c:f>Sheet4!$B$4:$B$12</c:f>
              <c:numCache>
                <c:formatCode>General</c:formatCode>
                <c:ptCount val="8"/>
                <c:pt idx="0">
                  <c:v>236</c:v>
                </c:pt>
                <c:pt idx="1">
                  <c:v>674</c:v>
                </c:pt>
                <c:pt idx="2">
                  <c:v>2567</c:v>
                </c:pt>
                <c:pt idx="3">
                  <c:v>1200</c:v>
                </c:pt>
                <c:pt idx="4">
                  <c:v>2473</c:v>
                </c:pt>
                <c:pt idx="5">
                  <c:v>3478</c:v>
                </c:pt>
                <c:pt idx="6">
                  <c:v>3777</c:v>
                </c:pt>
                <c:pt idx="7">
                  <c:v>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8-467A-8656-9BE9264D8FE5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求和项:差额</c:v>
                </c:pt>
              </c:strCache>
            </c:strRef>
          </c:tx>
          <c:spPr>
            <a:solidFill>
              <a:srgbClr val="91DE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1D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3B8-467A-8656-9BE9264D8FE5}"/>
              </c:ext>
            </c:extLst>
          </c:dPt>
          <c:dPt>
            <c:idx val="1"/>
            <c:invertIfNegative val="0"/>
            <c:bubble3D val="0"/>
            <c:spPr>
              <a:solidFill>
                <a:srgbClr val="91D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3B8-467A-8656-9BE9264D8FE5}"/>
              </c:ext>
            </c:extLst>
          </c:dPt>
          <c:dPt>
            <c:idx val="2"/>
            <c:invertIfNegative val="0"/>
            <c:bubble3D val="0"/>
            <c:spPr>
              <a:solidFill>
                <a:srgbClr val="91D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B8-467A-8656-9BE9264D8FE5}"/>
              </c:ext>
            </c:extLst>
          </c:dPt>
          <c:dPt>
            <c:idx val="3"/>
            <c:invertIfNegative val="0"/>
            <c:bubble3D val="0"/>
            <c:spPr>
              <a:solidFill>
                <a:srgbClr val="91D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3B8-467A-8656-9BE9264D8FE5}"/>
              </c:ext>
            </c:extLst>
          </c:dPt>
          <c:dPt>
            <c:idx val="4"/>
            <c:invertIfNegative val="0"/>
            <c:bubble3D val="0"/>
            <c:spPr>
              <a:solidFill>
                <a:srgbClr val="91D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B8-467A-8656-9BE9264D8FE5}"/>
              </c:ext>
            </c:extLst>
          </c:dPt>
          <c:dPt>
            <c:idx val="5"/>
            <c:invertIfNegative val="0"/>
            <c:bubble3D val="0"/>
            <c:spPr>
              <a:solidFill>
                <a:srgbClr val="91D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3B8-467A-8656-9BE9264D8FE5}"/>
              </c:ext>
            </c:extLst>
          </c:dPt>
          <c:dPt>
            <c:idx val="6"/>
            <c:invertIfNegative val="0"/>
            <c:bubble3D val="0"/>
            <c:spPr>
              <a:solidFill>
                <a:srgbClr val="91D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B8-467A-8656-9BE9264D8FE5}"/>
              </c:ext>
            </c:extLst>
          </c:dPt>
          <c:dPt>
            <c:idx val="7"/>
            <c:invertIfNegative val="0"/>
            <c:bubble3D val="0"/>
            <c:spPr>
              <a:solidFill>
                <a:srgbClr val="91D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B8-467A-8656-9BE9264D8FE5}"/>
              </c:ext>
            </c:extLst>
          </c:dPt>
          <c:cat>
            <c:strRef>
              <c:f>Sheet4!$A$4:$A$12</c:f>
              <c:strCache>
                <c:ptCount val="8"/>
                <c:pt idx="0">
                  <c:v>北京</c:v>
                </c:pt>
                <c:pt idx="1">
                  <c:v>上海</c:v>
                </c:pt>
                <c:pt idx="2">
                  <c:v>深圳</c:v>
                </c:pt>
                <c:pt idx="3">
                  <c:v>广州</c:v>
                </c:pt>
                <c:pt idx="4">
                  <c:v>杭州</c:v>
                </c:pt>
                <c:pt idx="5">
                  <c:v>佛山</c:v>
                </c:pt>
                <c:pt idx="6">
                  <c:v>湖南</c:v>
                </c:pt>
                <c:pt idx="7">
                  <c:v>重庆</c:v>
                </c:pt>
              </c:strCache>
            </c:strRef>
          </c:cat>
          <c:val>
            <c:numRef>
              <c:f>Sheet4!$C$4:$C$12</c:f>
              <c:numCache>
                <c:formatCode>General</c:formatCode>
                <c:ptCount val="8"/>
                <c:pt idx="0">
                  <c:v>2110</c:v>
                </c:pt>
                <c:pt idx="1">
                  <c:v>1788</c:v>
                </c:pt>
                <c:pt idx="2">
                  <c:v>3778</c:v>
                </c:pt>
                <c:pt idx="3">
                  <c:v>3300</c:v>
                </c:pt>
                <c:pt idx="4">
                  <c:v>3983</c:v>
                </c:pt>
                <c:pt idx="5">
                  <c:v>3867</c:v>
                </c:pt>
                <c:pt idx="6">
                  <c:v>3566</c:v>
                </c:pt>
                <c:pt idx="7">
                  <c:v>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8-467A-8656-9BE9264D8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3537272"/>
        <c:axId val="633537928"/>
      </c:barChart>
      <c:catAx>
        <c:axId val="633537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537928"/>
        <c:crosses val="autoZero"/>
        <c:auto val="1"/>
        <c:lblAlgn val="ctr"/>
        <c:lblOffset val="100"/>
        <c:noMultiLvlLbl val="0"/>
      </c:catAx>
      <c:valAx>
        <c:axId val="6335379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53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 企业看板 .xlsx]Sheet2!数据透视表1</c:name>
    <c:fmtId val="0"/>
  </c:pivotSource>
  <c:chart>
    <c:title>
      <c:tx>
        <c:strRef>
          <c:f>Sheet2!$B$1</c:f>
          <c:strCache>
            <c:ptCount val="1"/>
            <c:pt idx="0">
              <c:v>合作协议（个）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求和项:完成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8"/>
                <c:pt idx="0">
                  <c:v>北京</c:v>
                </c:pt>
                <c:pt idx="1">
                  <c:v>上海</c:v>
                </c:pt>
                <c:pt idx="2">
                  <c:v>深圳</c:v>
                </c:pt>
                <c:pt idx="3">
                  <c:v>广州</c:v>
                </c:pt>
                <c:pt idx="4">
                  <c:v>杭州</c:v>
                </c:pt>
                <c:pt idx="5">
                  <c:v>佛山</c:v>
                </c:pt>
                <c:pt idx="6">
                  <c:v>湖南</c:v>
                </c:pt>
                <c:pt idx="7">
                  <c:v>重庆</c:v>
                </c:pt>
              </c:strCache>
            </c:strRef>
          </c:cat>
          <c:val>
            <c:numRef>
              <c:f>Sheet2!$B$1</c:f>
              <c:numCache>
                <c:formatCode>General</c:formatCode>
                <c:ptCount val="8"/>
                <c:pt idx="0">
                  <c:v>3462</c:v>
                </c:pt>
                <c:pt idx="1">
                  <c:v>2555</c:v>
                </c:pt>
                <c:pt idx="2">
                  <c:v>1673</c:v>
                </c:pt>
                <c:pt idx="3">
                  <c:v>200</c:v>
                </c:pt>
                <c:pt idx="4">
                  <c:v>2356</c:v>
                </c:pt>
                <c:pt idx="5">
                  <c:v>3477</c:v>
                </c:pt>
                <c:pt idx="6">
                  <c:v>2467</c:v>
                </c:pt>
                <c:pt idx="7">
                  <c:v>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1-40A3-BB58-AF8417F05F4E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求和项:目标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8"/>
                <c:pt idx="0">
                  <c:v>北京</c:v>
                </c:pt>
                <c:pt idx="1">
                  <c:v>上海</c:v>
                </c:pt>
                <c:pt idx="2">
                  <c:v>深圳</c:v>
                </c:pt>
                <c:pt idx="3">
                  <c:v>广州</c:v>
                </c:pt>
                <c:pt idx="4">
                  <c:v>杭州</c:v>
                </c:pt>
                <c:pt idx="5">
                  <c:v>佛山</c:v>
                </c:pt>
                <c:pt idx="6">
                  <c:v>湖南</c:v>
                </c:pt>
                <c:pt idx="7">
                  <c:v>重庆</c:v>
                </c:pt>
              </c:strCache>
            </c:strRef>
          </c:cat>
          <c:val>
            <c:numRef>
              <c:f>Sheet2!$B$1</c:f>
              <c:numCache>
                <c:formatCode>General</c:formatCode>
                <c:ptCount val="8"/>
                <c:pt idx="0">
                  <c:v>7345</c:v>
                </c:pt>
                <c:pt idx="1">
                  <c:v>3452</c:v>
                </c:pt>
                <c:pt idx="2">
                  <c:v>6345</c:v>
                </c:pt>
                <c:pt idx="3">
                  <c:v>400</c:v>
                </c:pt>
                <c:pt idx="4">
                  <c:v>7345</c:v>
                </c:pt>
                <c:pt idx="5">
                  <c:v>8945</c:v>
                </c:pt>
                <c:pt idx="6">
                  <c:v>10567</c:v>
                </c:pt>
                <c:pt idx="7">
                  <c:v>8453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1-40A3-BB58-AF8417F05F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4186120"/>
        <c:axId val="584190384"/>
      </c:barChart>
      <c:catAx>
        <c:axId val="58418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4190384"/>
        <c:crosses val="autoZero"/>
        <c:auto val="1"/>
        <c:lblAlgn val="ctr"/>
        <c:lblOffset val="100"/>
        <c:noMultiLvlLbl val="0"/>
      </c:catAx>
      <c:valAx>
        <c:axId val="584190384"/>
        <c:scaling>
          <c:orientation val="minMax"/>
          <c:max val="1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418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 企业看板 .xlsx]Sheet2!数据透视表1</c:name>
    <c:fmtId val="2"/>
  </c:pivotSource>
  <c:chart>
    <c:title>
      <c:tx>
        <c:strRef>
          <c:f>Sheet2!$B$1</c:f>
          <c:strCache>
            <c:ptCount val="1"/>
            <c:pt idx="0">
              <c:v>合作协议（个）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求和项:完成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8"/>
                <c:pt idx="0">
                  <c:v>北京</c:v>
                </c:pt>
                <c:pt idx="1">
                  <c:v>上海</c:v>
                </c:pt>
                <c:pt idx="2">
                  <c:v>深圳</c:v>
                </c:pt>
                <c:pt idx="3">
                  <c:v>广州</c:v>
                </c:pt>
                <c:pt idx="4">
                  <c:v>杭州</c:v>
                </c:pt>
                <c:pt idx="5">
                  <c:v>佛山</c:v>
                </c:pt>
                <c:pt idx="6">
                  <c:v>湖南</c:v>
                </c:pt>
                <c:pt idx="7">
                  <c:v>重庆</c:v>
                </c:pt>
              </c:strCache>
            </c:strRef>
          </c:cat>
          <c:val>
            <c:numRef>
              <c:f>Sheet2!$B$1</c:f>
              <c:numCache>
                <c:formatCode>General</c:formatCode>
                <c:ptCount val="8"/>
                <c:pt idx="0">
                  <c:v>3462</c:v>
                </c:pt>
                <c:pt idx="1">
                  <c:v>2555</c:v>
                </c:pt>
                <c:pt idx="2">
                  <c:v>1673</c:v>
                </c:pt>
                <c:pt idx="3">
                  <c:v>200</c:v>
                </c:pt>
                <c:pt idx="4">
                  <c:v>2356</c:v>
                </c:pt>
                <c:pt idx="5">
                  <c:v>3477</c:v>
                </c:pt>
                <c:pt idx="6">
                  <c:v>2467</c:v>
                </c:pt>
                <c:pt idx="7">
                  <c:v>2463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4C-4B50-B002-0E2E918A1F57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求和项:目标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8"/>
                <c:pt idx="0">
                  <c:v>北京</c:v>
                </c:pt>
                <c:pt idx="1">
                  <c:v>上海</c:v>
                </c:pt>
                <c:pt idx="2">
                  <c:v>深圳</c:v>
                </c:pt>
                <c:pt idx="3">
                  <c:v>广州</c:v>
                </c:pt>
                <c:pt idx="4">
                  <c:v>杭州</c:v>
                </c:pt>
                <c:pt idx="5">
                  <c:v>佛山</c:v>
                </c:pt>
                <c:pt idx="6">
                  <c:v>湖南</c:v>
                </c:pt>
                <c:pt idx="7">
                  <c:v>重庆</c:v>
                </c:pt>
              </c:strCache>
            </c:strRef>
          </c:cat>
          <c:val>
            <c:numRef>
              <c:f>Sheet2!$B$1</c:f>
              <c:numCache>
                <c:formatCode>General</c:formatCode>
                <c:ptCount val="8"/>
                <c:pt idx="0">
                  <c:v>7345</c:v>
                </c:pt>
                <c:pt idx="1">
                  <c:v>3452</c:v>
                </c:pt>
                <c:pt idx="2">
                  <c:v>6345</c:v>
                </c:pt>
                <c:pt idx="3">
                  <c:v>400</c:v>
                </c:pt>
                <c:pt idx="4">
                  <c:v>7345</c:v>
                </c:pt>
                <c:pt idx="5">
                  <c:v>8945</c:v>
                </c:pt>
                <c:pt idx="6">
                  <c:v>10567</c:v>
                </c:pt>
                <c:pt idx="7">
                  <c:v>8453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4C-4B50-B002-0E2E918A1F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5384223"/>
        <c:axId val="705389983"/>
      </c:lineChart>
      <c:catAx>
        <c:axId val="70538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389983"/>
        <c:crosses val="autoZero"/>
        <c:auto val="1"/>
        <c:lblAlgn val="ctr"/>
        <c:lblOffset val="100"/>
        <c:noMultiLvlLbl val="0"/>
      </c:catAx>
      <c:valAx>
        <c:axId val="7053899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538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70D5F7"/>
              </a:solidFill>
              <a:latin typeface="汉仪旗黑-55S" panose="00020600040101010101" pitchFamily="18" charset="-122"/>
              <a:ea typeface="汉仪旗黑-55S" panose="00020600040101010101" pitchFamily="18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案例二!$I$14</c:f>
              <c:strCache>
                <c:ptCount val="1"/>
                <c:pt idx="0">
                  <c:v>1月销售业绩</c:v>
                </c:pt>
              </c:strCache>
            </c:strRef>
          </c:tx>
          <c:spPr>
            <a:gradFill>
              <a:gsLst>
                <a:gs pos="0">
                  <a:srgbClr val="70D5F7"/>
                </a:gs>
                <a:gs pos="100000">
                  <a:srgbClr val="299CE3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案例二!$J$13:$N$13</c:f>
              <c:strCache>
                <c:ptCount val="5"/>
                <c:pt idx="0">
                  <c:v>鼠标</c:v>
                </c:pt>
                <c:pt idx="1">
                  <c:v>键盘</c:v>
                </c:pt>
                <c:pt idx="2">
                  <c:v>显示器</c:v>
                </c:pt>
                <c:pt idx="3">
                  <c:v>主机</c:v>
                </c:pt>
                <c:pt idx="4">
                  <c:v>销售额</c:v>
                </c:pt>
              </c:strCache>
            </c:strRef>
          </c:cat>
          <c:val>
            <c:numRef>
              <c:f>案例二!$J$14:$N$14</c:f>
              <c:numCache>
                <c:formatCode>General</c:formatCode>
                <c:ptCount val="5"/>
                <c:pt idx="0">
                  <c:v>31225.804800928825</c:v>
                </c:pt>
                <c:pt idx="1">
                  <c:v>35355.673273919565</c:v>
                </c:pt>
                <c:pt idx="2">
                  <c:v>39853.054954834042</c:v>
                </c:pt>
                <c:pt idx="3">
                  <c:v>92992.13664359058</c:v>
                </c:pt>
                <c:pt idx="4">
                  <c:v>199426.66967327302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8-4266-878F-154B9EB48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182144"/>
        <c:axId val="638179192"/>
      </c:barChart>
      <c:catAx>
        <c:axId val="6381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179192"/>
        <c:crosses val="autoZero"/>
        <c:auto val="1"/>
        <c:lblAlgn val="ctr"/>
        <c:lblOffset val="100"/>
        <c:noMultiLvlLbl val="0"/>
      </c:catAx>
      <c:valAx>
        <c:axId val="638179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818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70D5F7"/>
                  </a:gs>
                  <a:gs pos="100000">
                    <a:srgbClr val="299CE3"/>
                  </a:gs>
                </a:gsLst>
                <a:lin ang="5400000" scaled="1"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455-4384-A73C-991FCB242E3C}"/>
              </c:ext>
            </c:extLst>
          </c:dPt>
          <c:dPt>
            <c:idx val="1"/>
            <c:bubble3D val="0"/>
            <c:spPr>
              <a:solidFill>
                <a:srgbClr val="18315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55-4384-A73C-991FCB242E3C}"/>
              </c:ext>
            </c:extLst>
          </c:dPt>
          <c:val>
            <c:numRef>
              <c:f>案例二!$N$15:$O$15</c:f>
              <c:numCache>
                <c:formatCode>0%</c:formatCode>
                <c:ptCount val="2"/>
                <c:pt idx="0">
                  <c:v>0.39885333934654604</c:v>
                </c:pt>
                <c:pt idx="1">
                  <c:v>0.6011466606534539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5-4384-A73C-991FCB24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12" dropStyle="combo" dx="26" fmlaLink="$I$1" fmlaRange="$A$2:$A$13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7</xdr:row>
      <xdr:rowOff>153144</xdr:rowOff>
    </xdr:from>
    <xdr:to>
      <xdr:col>18</xdr:col>
      <xdr:colOff>7620</xdr:colOff>
      <xdr:row>28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563880</xdr:colOff>
      <xdr:row>12</xdr:row>
      <xdr:rowOff>15240</xdr:rowOff>
    </xdr:from>
    <xdr:to>
      <xdr:col>21</xdr:col>
      <xdr:colOff>190500</xdr:colOff>
      <xdr:row>29</xdr:row>
      <xdr:rowOff>45720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项目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项目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0980" y="2400300"/>
              <a:ext cx="2019300" cy="24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18</xdr:col>
      <xdr:colOff>45720</xdr:colOff>
      <xdr:row>8</xdr:row>
      <xdr:rowOff>45720</xdr:rowOff>
    </xdr:from>
    <xdr:to>
      <xdr:col>21</xdr:col>
      <xdr:colOff>76200</xdr:colOff>
      <xdr:row>11</xdr:row>
      <xdr:rowOff>91440</xdr:rowOff>
    </xdr:to>
    <xdr:sp macro="" textlink="$B$12">
      <xdr:nvSpPr>
        <xdr:cNvPr id="4" name="矩形: 圆角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1742420" y="1508760"/>
          <a:ext cx="1859280" cy="594360"/>
        </a:xfrm>
        <a:prstGeom prst="roundRect">
          <a:avLst>
            <a:gd name="adj" fmla="val 6411"/>
          </a:avLst>
        </a:prstGeom>
        <a:solidFill>
          <a:srgbClr val="91DED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753C1F7-C8CA-4E73-A692-878DEEFF0BC4}" type="TxLink">
            <a:rPr lang="en-US" altLang="en-US" sz="3200" b="0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Bebas Neue" panose="020B0606020202050201" pitchFamily="34" charset="0"/>
              <a:ea typeface="黑体"/>
            </a:rPr>
            <a:pPr algn="ctr"/>
            <a:t>16872</a:t>
          </a:fld>
          <a:endParaRPr lang="zh-CN" altLang="en-US" sz="3200">
            <a:solidFill>
              <a:schemeClr val="tx1">
                <a:lumMod val="85000"/>
                <a:lumOff val="15000"/>
              </a:schemeClr>
            </a:solidFill>
            <a:latin typeface="Bebas Neue" panose="020B0606020202050201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71249</xdr:colOff>
      <xdr:row>11</xdr:row>
      <xdr:rowOff>42582</xdr:rowOff>
    </xdr:from>
    <xdr:to>
      <xdr:col>19</xdr:col>
      <xdr:colOff>462661</xdr:colOff>
      <xdr:row>42</xdr:row>
      <xdr:rowOff>29135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9BAC0B3E-2375-07EE-315F-087C58826C55}"/>
            </a:ext>
          </a:extLst>
        </xdr:cNvPr>
        <xdr:cNvGrpSpPr/>
      </xdr:nvGrpSpPr>
      <xdr:grpSpPr>
        <a:xfrm>
          <a:off x="3271649" y="2078211"/>
          <a:ext cx="11092069" cy="5723324"/>
          <a:chOff x="3262684" y="224117"/>
          <a:chExt cx="11113200" cy="5544671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aphicFramePr/>
        </xdr:nvGraphicFramePr>
        <xdr:xfrm>
          <a:off x="3263520" y="224117"/>
          <a:ext cx="11111529" cy="26894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FC4D2AFA-6E7B-3A4F-A891-BF01AF256521}"/>
              </a:ext>
            </a:extLst>
          </xdr:cNvPr>
          <xdr:cNvGraphicFramePr/>
        </xdr:nvGraphicFramePr>
        <xdr:xfrm>
          <a:off x="3262684" y="3025588"/>
          <a:ext cx="111132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1</xdr:col>
      <xdr:colOff>17929</xdr:colOff>
      <xdr:row>10</xdr:row>
      <xdr:rowOff>175976</xdr:rowOff>
    </xdr:from>
    <xdr:to>
      <xdr:col>2</xdr:col>
      <xdr:colOff>889412</xdr:colOff>
      <xdr:row>42</xdr:row>
      <xdr:rowOff>75035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项目 1">
              <a:extLst>
                <a:ext uri="{FF2B5EF4-FFF2-40B4-BE49-F238E27FC236}">
                  <a16:creationId xmlns:a16="http://schemas.microsoft.com/office/drawing/2014/main" id="{CDEA3A67-6512-D333-1095-FC88995682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项目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843" y="2026547"/>
              <a:ext cx="2330169" cy="5820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2</xdr:row>
      <xdr:rowOff>76200</xdr:rowOff>
    </xdr:from>
    <xdr:to>
      <xdr:col>14</xdr:col>
      <xdr:colOff>76200</xdr:colOff>
      <xdr:row>11</xdr:row>
      <xdr:rowOff>160020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205740</xdr:colOff>
          <xdr:row>2</xdr:row>
          <xdr:rowOff>190500</xdr:rowOff>
        </xdr:from>
        <xdr:to>
          <xdr:col>13</xdr:col>
          <xdr:colOff>464820</xdr:colOff>
          <xdr:row>3</xdr:row>
          <xdr:rowOff>144780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26893</xdr:colOff>
      <xdr:row>2</xdr:row>
      <xdr:rowOff>89648</xdr:rowOff>
    </xdr:from>
    <xdr:to>
      <xdr:col>23</xdr:col>
      <xdr:colOff>53788</xdr:colOff>
      <xdr:row>14</xdr:row>
      <xdr:rowOff>246530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7</xdr:row>
      <xdr:rowOff>116542</xdr:rowOff>
    </xdr:from>
    <xdr:to>
      <xdr:col>19</xdr:col>
      <xdr:colOff>385482</xdr:colOff>
      <xdr:row>11</xdr:row>
      <xdr:rowOff>125507</xdr:rowOff>
    </xdr:to>
    <xdr:sp macro="" textlink="N15">
      <xdr:nvSpPr>
        <xdr:cNvPr id="7" name="文本框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13438094" y="1882589"/>
          <a:ext cx="1604682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F068C95-611F-4631-B292-53A599261A1A}" type="TxLink">
            <a:rPr lang="en-US" altLang="en-US" sz="7200" b="0" i="0" u="none" strike="noStrike">
              <a:solidFill>
                <a:srgbClr val="70D5F7"/>
              </a:solidFill>
              <a:latin typeface="Bebas Neue" panose="020B0606020202050201" pitchFamily="34" charset="0"/>
              <a:ea typeface="汉仪旗黑-55S" panose="00020600040101010101" pitchFamily="18" charset="-122"/>
            </a:rPr>
            <a:pPr/>
            <a:t>40%</a:t>
          </a:fld>
          <a:endParaRPr lang="zh-CN" altLang="en-US" sz="7200">
            <a:latin typeface="Bebas Neue" panose="020B0606020202050201" pitchFamily="34" charset="0"/>
            <a:ea typeface="汉仪旗黑-55S" panose="00020600040101010101" pitchFamily="18" charset="-122"/>
          </a:endParaRPr>
        </a:p>
      </xdr:txBody>
    </xdr:sp>
    <xdr:clientData/>
  </xdr:twoCellAnchor>
  <xdr:twoCellAnchor>
    <xdr:from>
      <xdr:col>17</xdr:col>
      <xdr:colOff>188259</xdr:colOff>
      <xdr:row>6</xdr:row>
      <xdr:rowOff>44823</xdr:rowOff>
    </xdr:from>
    <xdr:to>
      <xdr:col>19</xdr:col>
      <xdr:colOff>573741</xdr:colOff>
      <xdr:row>10</xdr:row>
      <xdr:rowOff>53788</xdr:rowOff>
    </xdr:to>
    <xdr:sp macro="" textlink="N15">
      <xdr:nvSpPr>
        <xdr:cNvPr id="9" name="文本框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3626353" y="1577788"/>
          <a:ext cx="1604682" cy="94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>
              <a:solidFill>
                <a:schemeClr val="bg1"/>
              </a:solidFill>
              <a:latin typeface="+mj-ea"/>
              <a:ea typeface="+mj-ea"/>
            </a:rPr>
            <a:t>完成率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雅客" refreshedDate="43382.736451736113" createdVersion="6" refreshedVersion="6" minRefreshableVersion="3" recordCount="56" xr:uid="{5DD90213-55E4-460F-85F4-424A45CF4DB0}">
  <cacheSource type="worksheet">
    <worksheetSource ref="A1:F57" sheet="案例一"/>
  </cacheSource>
  <cacheFields count="7">
    <cacheField name="日期" numFmtId="14">
      <sharedItems containsSemiMixedTypes="0" containsNonDate="0" containsDate="1" containsString="0" minDate="2018-01-02T00:00:00" maxDate="2018-01-03T00:00:00"/>
    </cacheField>
    <cacheField name="子公司" numFmtId="0">
      <sharedItems/>
    </cacheField>
    <cacheField name="项目" numFmtId="0">
      <sharedItems count="7">
        <s v="托管数量（个）"/>
        <s v="托管金额（万元）"/>
        <s v="合作协议（个）"/>
        <s v="合作协议金额（万元）"/>
        <s v="两费到账金额（万元）"/>
        <s v="服务费到账金额（万元）"/>
        <s v="经营收入（万元）"/>
      </sharedItems>
    </cacheField>
    <cacheField name="完成" numFmtId="0">
      <sharedItems containsSemiMixedTypes="0" containsString="0" containsNumber="1" containsInteger="1" minValue="200" maxValue="7345"/>
    </cacheField>
    <cacheField name="地区" numFmtId="0">
      <sharedItems count="8">
        <s v="广州"/>
        <s v="上海"/>
        <s v="杭州"/>
        <s v="北京"/>
        <s v="深圳"/>
        <s v="湖南"/>
        <s v="重庆"/>
        <s v="佛山"/>
      </sharedItems>
    </cacheField>
    <cacheField name="目标" numFmtId="0">
      <sharedItems containsSemiMixedTypes="0" containsString="0" containsNumber="1" containsInteger="1" minValue="400" maxValue="10567"/>
    </cacheField>
    <cacheField name="差额" numFmtId="0" formula="目标-完成" databaseField="0"/>
  </cacheFields>
  <extLst>
    <ext xmlns:x14="http://schemas.microsoft.com/office/spreadsheetml/2009/9/main" uri="{725AE2AE-9491-48be-B2B4-4EB974FC3084}">
      <x14:pivotCacheDefinition pivotCacheId="19165588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d v="2018-01-02T00:00:00"/>
    <s v="广州公司"/>
    <x v="0"/>
    <n v="1000"/>
    <x v="0"/>
    <n v="3000"/>
  </r>
  <r>
    <d v="2018-01-02T00:00:00"/>
    <s v="广州公司"/>
    <x v="1"/>
    <n v="2000"/>
    <x v="0"/>
    <n v="2800"/>
  </r>
  <r>
    <d v="2018-01-02T00:00:00"/>
    <s v="广州公司"/>
    <x v="2"/>
    <n v="200"/>
    <x v="0"/>
    <n v="400"/>
  </r>
  <r>
    <d v="2018-01-02T00:00:00"/>
    <s v="广州公司"/>
    <x v="3"/>
    <n v="1200"/>
    <x v="0"/>
    <n v="3000"/>
  </r>
  <r>
    <d v="2018-01-02T00:00:00"/>
    <s v="广州公司"/>
    <x v="4"/>
    <n v="1300"/>
    <x v="0"/>
    <n v="2500"/>
  </r>
  <r>
    <d v="2018-01-02T00:00:00"/>
    <s v="广州公司"/>
    <x v="5"/>
    <n v="1200"/>
    <x v="0"/>
    <n v="4500"/>
  </r>
  <r>
    <d v="2018-01-02T00:00:00"/>
    <s v="广州公司"/>
    <x v="6"/>
    <n v="1200"/>
    <x v="0"/>
    <n v="4525"/>
  </r>
  <r>
    <d v="2018-01-02T00:00:00"/>
    <s v="上海公司"/>
    <x v="0"/>
    <n v="1200"/>
    <x v="1"/>
    <n v="6365"/>
  </r>
  <r>
    <d v="2018-01-02T00:00:00"/>
    <s v="上海公司"/>
    <x v="1"/>
    <n v="1300"/>
    <x v="1"/>
    <n v="3455"/>
  </r>
  <r>
    <d v="2018-01-02T00:00:00"/>
    <s v="上海公司"/>
    <x v="2"/>
    <n v="2555"/>
    <x v="1"/>
    <n v="3452"/>
  </r>
  <r>
    <d v="2018-01-02T00:00:00"/>
    <s v="上海公司"/>
    <x v="3"/>
    <n v="1111"/>
    <x v="1"/>
    <n v="5245"/>
  </r>
  <r>
    <d v="2018-01-02T00:00:00"/>
    <s v="上海公司"/>
    <x v="4"/>
    <n v="1568"/>
    <x v="1"/>
    <n v="6246"/>
  </r>
  <r>
    <d v="2018-01-02T00:00:00"/>
    <s v="上海公司"/>
    <x v="5"/>
    <n v="674"/>
    <x v="1"/>
    <n v="2462"/>
  </r>
  <r>
    <d v="2018-01-02T00:00:00"/>
    <s v="上海公司"/>
    <x v="6"/>
    <n v="1895"/>
    <x v="1"/>
    <n v="6246"/>
  </r>
  <r>
    <d v="2018-01-02T00:00:00"/>
    <s v="杭州公司"/>
    <x v="0"/>
    <n v="1246"/>
    <x v="2"/>
    <n v="2675"/>
  </r>
  <r>
    <d v="2018-01-02T00:00:00"/>
    <s v="杭州公司"/>
    <x v="1"/>
    <n v="6345"/>
    <x v="2"/>
    <n v="8454"/>
  </r>
  <r>
    <d v="2018-01-02T00:00:00"/>
    <s v="杭州公司"/>
    <x v="2"/>
    <n v="2356"/>
    <x v="2"/>
    <n v="7345"/>
  </r>
  <r>
    <d v="2018-01-02T00:00:00"/>
    <s v="杭州公司"/>
    <x v="3"/>
    <n v="2567"/>
    <x v="2"/>
    <n v="8467"/>
  </r>
  <r>
    <d v="2018-01-02T00:00:00"/>
    <s v="杭州公司"/>
    <x v="4"/>
    <n v="4637"/>
    <x v="2"/>
    <n v="7567"/>
  </r>
  <r>
    <d v="2018-01-02T00:00:00"/>
    <s v="杭州公司"/>
    <x v="5"/>
    <n v="2473"/>
    <x v="2"/>
    <n v="6456"/>
  </r>
  <r>
    <d v="2018-01-02T00:00:00"/>
    <s v="杭州公司"/>
    <x v="6"/>
    <n v="4467"/>
    <x v="2"/>
    <n v="7846"/>
  </r>
  <r>
    <d v="2018-01-02T00:00:00"/>
    <s v="北京公司"/>
    <x v="0"/>
    <n v="3573"/>
    <x v="3"/>
    <n v="8456"/>
  </r>
  <r>
    <d v="2018-01-02T00:00:00"/>
    <s v="北京公司"/>
    <x v="1"/>
    <n v="2367"/>
    <x v="3"/>
    <n v="3624"/>
  </r>
  <r>
    <d v="2018-01-02T00:00:00"/>
    <s v="北京公司"/>
    <x v="2"/>
    <n v="3462"/>
    <x v="3"/>
    <n v="7345"/>
  </r>
  <r>
    <d v="2018-01-02T00:00:00"/>
    <s v="北京公司"/>
    <x v="3"/>
    <n v="3573"/>
    <x v="3"/>
    <n v="7357"/>
  </r>
  <r>
    <d v="2018-01-02T00:00:00"/>
    <s v="北京公司"/>
    <x v="4"/>
    <n v="3462"/>
    <x v="3"/>
    <n v="4356"/>
  </r>
  <r>
    <d v="2018-01-02T00:00:00"/>
    <s v="北京公司"/>
    <x v="5"/>
    <n v="236"/>
    <x v="3"/>
    <n v="2346"/>
  </r>
  <r>
    <d v="2018-01-02T00:00:00"/>
    <s v="北京公司"/>
    <x v="6"/>
    <n v="1456"/>
    <x v="3"/>
    <n v="7453"/>
  </r>
  <r>
    <d v="2018-01-02T00:00:00"/>
    <s v="深圳公司"/>
    <x v="0"/>
    <n v="3466"/>
    <x v="4"/>
    <n v="7345"/>
  </r>
  <r>
    <d v="2018-01-02T00:00:00"/>
    <s v="深圳公司"/>
    <x v="1"/>
    <n v="1626"/>
    <x v="4"/>
    <n v="5734"/>
  </r>
  <r>
    <d v="2018-01-02T00:00:00"/>
    <s v="深圳公司"/>
    <x v="2"/>
    <n v="1673"/>
    <x v="4"/>
    <n v="6345"/>
  </r>
  <r>
    <d v="2018-01-02T00:00:00"/>
    <s v="深圳公司"/>
    <x v="3"/>
    <n v="1463"/>
    <x v="4"/>
    <n v="6356"/>
  </r>
  <r>
    <d v="2018-01-02T00:00:00"/>
    <s v="深圳公司"/>
    <x v="4"/>
    <n v="2273"/>
    <x v="4"/>
    <n v="2346"/>
  </r>
  <r>
    <d v="2018-01-02T00:00:00"/>
    <s v="深圳公司"/>
    <x v="5"/>
    <n v="2567"/>
    <x v="4"/>
    <n v="6345"/>
  </r>
  <r>
    <d v="2018-01-02T00:00:00"/>
    <s v="深圳公司"/>
    <x v="6"/>
    <n v="2467"/>
    <x v="4"/>
    <n v="4524"/>
  </r>
  <r>
    <d v="2018-01-02T00:00:00"/>
    <s v="湖南公司"/>
    <x v="0"/>
    <n v="1577"/>
    <x v="5"/>
    <n v="6345"/>
  </r>
  <r>
    <d v="2018-01-02T00:00:00"/>
    <s v="湖南公司"/>
    <x v="1"/>
    <n v="3477"/>
    <x v="5"/>
    <n v="3462"/>
  </r>
  <r>
    <d v="2018-01-02T00:00:00"/>
    <s v="湖南公司"/>
    <x v="2"/>
    <n v="2467"/>
    <x v="5"/>
    <n v="10567"/>
  </r>
  <r>
    <d v="2018-01-02T00:00:00"/>
    <s v="湖南公司"/>
    <x v="3"/>
    <n v="2467"/>
    <x v="5"/>
    <n v="8563"/>
  </r>
  <r>
    <d v="2018-01-02T00:00:00"/>
    <s v="湖南公司"/>
    <x v="4"/>
    <n v="1463"/>
    <x v="5"/>
    <n v="2456"/>
  </r>
  <r>
    <d v="2018-01-02T00:00:00"/>
    <s v="湖南公司"/>
    <x v="5"/>
    <n v="3777"/>
    <x v="5"/>
    <n v="7343"/>
  </r>
  <r>
    <d v="2018-01-02T00:00:00"/>
    <s v="湖南公司"/>
    <x v="6"/>
    <n v="3467"/>
    <x v="5"/>
    <n v="7345"/>
  </r>
  <r>
    <d v="2018-01-02T00:00:00"/>
    <s v="重庆公司"/>
    <x v="0"/>
    <n v="7345"/>
    <x v="6"/>
    <n v="8656"/>
  </r>
  <r>
    <d v="2018-01-02T00:00:00"/>
    <s v="重庆公司"/>
    <x v="1"/>
    <n v="4333"/>
    <x v="6"/>
    <n v="4357"/>
  </r>
  <r>
    <d v="2018-01-02T00:00:00"/>
    <s v="重庆公司"/>
    <x v="2"/>
    <n v="2463"/>
    <x v="6"/>
    <n v="8453"/>
  </r>
  <r>
    <d v="2018-01-02T00:00:00"/>
    <s v="重庆公司"/>
    <x v="3"/>
    <n v="2344"/>
    <x v="6"/>
    <n v="8358"/>
  </r>
  <r>
    <d v="2018-01-02T00:00:00"/>
    <s v="重庆公司"/>
    <x v="4"/>
    <n v="3466"/>
    <x v="6"/>
    <n v="3578"/>
  </r>
  <r>
    <d v="2018-01-02T00:00:00"/>
    <s v="重庆公司"/>
    <x v="5"/>
    <n v="2467"/>
    <x v="6"/>
    <n v="9564"/>
  </r>
  <r>
    <d v="2018-01-02T00:00:00"/>
    <s v="重庆公司"/>
    <x v="6"/>
    <n v="3447"/>
    <x v="6"/>
    <n v="8467"/>
  </r>
  <r>
    <d v="2018-01-02T00:00:00"/>
    <s v="佛山公司"/>
    <x v="0"/>
    <n v="3473"/>
    <x v="7"/>
    <n v="8543"/>
  </r>
  <r>
    <d v="2018-01-02T00:00:00"/>
    <s v="佛山公司"/>
    <x v="1"/>
    <n v="3467"/>
    <x v="7"/>
    <n v="6457"/>
  </r>
  <r>
    <d v="2018-01-02T00:00:00"/>
    <s v="佛山公司"/>
    <x v="2"/>
    <n v="3477"/>
    <x v="7"/>
    <n v="8945"/>
  </r>
  <r>
    <d v="2018-01-02T00:00:00"/>
    <s v="佛山公司"/>
    <x v="3"/>
    <n v="2344"/>
    <x v="7"/>
    <n v="3456"/>
  </r>
  <r>
    <d v="2018-01-02T00:00:00"/>
    <s v="佛山公司"/>
    <x v="4"/>
    <n v="5777"/>
    <x v="7"/>
    <n v="7345"/>
  </r>
  <r>
    <d v="2018-01-02T00:00:00"/>
    <s v="佛山公司"/>
    <x v="5"/>
    <n v="3478"/>
    <x v="7"/>
    <n v="7345"/>
  </r>
  <r>
    <d v="2018-01-02T00:00:00"/>
    <s v="佛山公司"/>
    <x v="6"/>
    <n v="6534"/>
    <x v="7"/>
    <n v="72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9A4A3-235E-4C86-AF2C-E2061E238D3F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 chartFormat="1">
  <location ref="A3:C12" firstHeaderRow="0" firstDataRow="1" firstDataCol="1"/>
  <pivotFields count="7">
    <pivotField numFmtId="14" showAll="0"/>
    <pivotField showAll="0"/>
    <pivotField showAll="0">
      <items count="8">
        <item x="5"/>
        <item h="1" x="2"/>
        <item h="1" x="3"/>
        <item h="1" x="6"/>
        <item h="1" x="4"/>
        <item h="1" x="1"/>
        <item h="1" x="0"/>
        <item t="default"/>
      </items>
    </pivotField>
    <pivotField dataField="1" showAll="0"/>
    <pivotField axis="axisRow" showAll="0">
      <items count="9">
        <item x="3"/>
        <item x="1"/>
        <item x="4"/>
        <item x="0"/>
        <item x="2"/>
        <item x="7"/>
        <item x="5"/>
        <item x="6"/>
        <item t="default"/>
      </items>
    </pivotField>
    <pivotField showAll="0"/>
    <pivotField dataField="1" dragToRow="0" dragToCol="0" dragToPage="0"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完成" fld="3" baseField="0" baseItem="0"/>
    <dataField name="求和项:差额" fld="6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57615-0F20-422E-886C-F44079BF2567}" name="数据透视表1" cacheId="0" applyNumberFormats="0" applyBorderFormats="0" applyFontFormats="0" applyPatternFormats="0" applyAlignmentFormats="0" applyWidthHeightFormats="1" dataCaption="值" updatedVersion="8" minRefreshableVersion="3" showDrill="0" useAutoFormatting="1" rowGrandTotals="0" colGrandTotals="0" itemPrintTitles="1" createdVersion="6" indent="0" compact="0" compactData="0" multipleFieldFilters="0" chartFormat="6">
  <location ref="A3:C11" firstHeaderRow="0" firstDataRow="1" firstDataCol="1" rowPageCount="1" colPageCount="1"/>
  <pivotFields count="7">
    <pivotField compact="0" numFmtId="14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sortType="ascending">
      <items count="8">
        <item x="5"/>
        <item x="2"/>
        <item x="3"/>
        <item x="6"/>
        <item x="4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9">
        <item x="3"/>
        <item x="1"/>
        <item x="4"/>
        <item x="0"/>
        <item x="2"/>
        <item x="7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pageFields count="1">
    <pageField fld="2" item="1" hier="-1"/>
  </pageFields>
  <dataFields count="2">
    <dataField name="求和项:完成" fld="3" baseField="0" baseItem="0"/>
    <dataField name="求和项:目标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6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项目" xr10:uid="{68310052-35E3-4AB4-B287-656463B0C101}" sourceName="项目">
  <pivotTables>
    <pivotTable tabId="4" name="数据透视表2"/>
  </pivotTables>
  <data>
    <tabular pivotCacheId="1916558826">
      <items count="7">
        <i x="5" s="1"/>
        <i x="2"/>
        <i x="3"/>
        <i x="6"/>
        <i x="4"/>
        <i x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项目1" xr10:uid="{881AF842-BDEF-4BC2-8A25-1A7AD31C3C33}" sourceName="项目">
  <pivotTables>
    <pivotTable tabId="2" name="数据透视表1"/>
  </pivotTables>
  <data>
    <tabular pivotCacheId="1916558826">
      <items count="7">
        <i x="5"/>
        <i x="2" s="1"/>
        <i x="3"/>
        <i x="6"/>
        <i x="4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项目" xr10:uid="{0A6F831C-0F7B-4A1C-BB6F-714FD927DBE6}" cache="切片器_项目" caption="项目" showCaption="0" style="切片器样式 2" rowHeight="396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项目 1" xr10:uid="{6D4B65E2-C117-4D55-BEF6-B4E76FBB96C0}" cache="切片器_项目1" caption="项目" style="切片器样式 2" rowHeight="72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A175F-D6F9-4186-8CCB-7F6CCBF94679}" name="表1" displayName="表1" ref="A1:F2" totalsRowShown="0">
  <autoFilter ref="A1:F2" xr:uid="{47B73822-0610-4BB6-871F-C69C99A9AEC6}"/>
  <tableColumns count="6">
    <tableColumn id="1" xr3:uid="{F609C15B-D72A-4D0C-8060-7A8D038CBB52}" name="日期" dataDxfId="18"/>
    <tableColumn id="2" xr3:uid="{A42B1298-48DE-446A-AB5C-C85C79E47E43}" name="子公司"/>
    <tableColumn id="3" xr3:uid="{9AFDF98C-B0FC-41C1-AAB6-6EEA644A3D39}" name="项目"/>
    <tableColumn id="4" xr3:uid="{C765D4D3-CA4B-460E-BCCA-F63F153F5148}" name="完成"/>
    <tableColumn id="5" xr3:uid="{FB0E5CC5-D4E9-4211-9B14-4A2F289FA108}" name="地区"/>
    <tableColumn id="6" xr3:uid="{A6388F1F-0874-47EE-871E-55595E85AB4D}" name="目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3EA3-2CC0-4B7A-B3DF-6C85DD0673DA}">
  <dimension ref="A1:F2"/>
  <sheetViews>
    <sheetView workbookViewId="0">
      <selection activeCell="G7" sqref="G7"/>
    </sheetView>
  </sheetViews>
  <sheetFormatPr defaultRowHeight="14.4"/>
  <cols>
    <col min="2" max="2" width="9.21875" customWidth="1"/>
  </cols>
  <sheetData>
    <row r="1" spans="1:6">
      <c r="A1" t="s">
        <v>0</v>
      </c>
      <c r="B1" t="s">
        <v>2</v>
      </c>
      <c r="C1" t="s">
        <v>4</v>
      </c>
      <c r="D1" t="s">
        <v>6</v>
      </c>
      <c r="E1" t="s">
        <v>10</v>
      </c>
      <c r="F1" t="s">
        <v>8</v>
      </c>
    </row>
    <row r="2" spans="1:6">
      <c r="A2" s="1">
        <v>43102</v>
      </c>
      <c r="B2" t="s">
        <v>25</v>
      </c>
      <c r="C2" t="s">
        <v>17</v>
      </c>
      <c r="D2">
        <v>2626</v>
      </c>
      <c r="E2" t="s">
        <v>36</v>
      </c>
      <c r="F2">
        <v>5734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BFA7-1C89-4C7D-B579-B558F8CEB499}">
  <dimension ref="A1:AA34"/>
  <sheetViews>
    <sheetView showGridLines="0" workbookViewId="0">
      <selection activeCell="W17" sqref="W17"/>
    </sheetView>
  </sheetViews>
  <sheetFormatPr defaultRowHeight="14.4"/>
  <cols>
    <col min="1" max="1" width="10.109375" style="17" bestFit="1" customWidth="1"/>
    <col min="2" max="3" width="13.5546875" style="17" bestFit="1" customWidth="1"/>
    <col min="4" max="16384" width="8.88671875" style="17"/>
  </cols>
  <sheetData>
    <row r="1" spans="1:27"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>
      <c r="A3" s="17" t="s">
        <v>46</v>
      </c>
      <c r="B3" s="17" t="s">
        <v>49</v>
      </c>
      <c r="C3" s="17" t="s">
        <v>69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>
      <c r="A4" s="19" t="s">
        <v>34</v>
      </c>
      <c r="B4" s="23">
        <v>236</v>
      </c>
      <c r="C4" s="23">
        <v>2110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30.6">
      <c r="A5" s="19" t="s">
        <v>32</v>
      </c>
      <c r="B5" s="23">
        <v>674</v>
      </c>
      <c r="C5" s="23">
        <v>1788</v>
      </c>
      <c r="F5" s="18"/>
      <c r="G5" s="21" t="s">
        <v>70</v>
      </c>
      <c r="H5" s="21"/>
      <c r="I5" s="21"/>
      <c r="J5" s="21"/>
      <c r="K5" s="21"/>
      <c r="L5" s="21"/>
      <c r="M5" s="2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>
      <c r="A6" s="19" t="s">
        <v>36</v>
      </c>
      <c r="B6" s="23">
        <v>2567</v>
      </c>
      <c r="C6" s="23">
        <v>3778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>
      <c r="A7" s="19" t="s">
        <v>30</v>
      </c>
      <c r="B7" s="23">
        <v>1200</v>
      </c>
      <c r="C7" s="23">
        <v>3300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>
      <c r="A8" s="19" t="s">
        <v>33</v>
      </c>
      <c r="B8" s="23">
        <v>2473</v>
      </c>
      <c r="C8" s="23">
        <v>3983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>
      <c r="A9" s="19" t="s">
        <v>43</v>
      </c>
      <c r="B9" s="23">
        <v>3478</v>
      </c>
      <c r="C9" s="23">
        <v>3867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>
      <c r="A10" s="19" t="s">
        <v>40</v>
      </c>
      <c r="B10" s="23">
        <v>3777</v>
      </c>
      <c r="C10" s="23">
        <v>3566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>
      <c r="A11" s="19" t="s">
        <v>42</v>
      </c>
      <c r="B11" s="23">
        <v>2467</v>
      </c>
      <c r="C11" s="23">
        <v>7097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>
      <c r="A12" s="19" t="s">
        <v>47</v>
      </c>
      <c r="B12" s="23">
        <v>16872</v>
      </c>
      <c r="C12" s="23">
        <v>29489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3:27">
      <c r="C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3:27"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3:27"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3:27">
      <c r="C20" s="20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3:27"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3:27"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3:27"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3:27"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3:27"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3:27"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3:27"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3:27"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3:27"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3:27"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3:27"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3:27"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6:27"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6:27"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</sheetData>
  <mergeCells count="1">
    <mergeCell ref="G5:M5"/>
  </mergeCells>
  <phoneticPr fontId="2" type="noConversion"/>
  <pageMargins left="0.7" right="0.7" top="0.75" bottom="0.75" header="0.3" footer="0.3"/>
  <pageSetup paperSize="9" orientation="portrait" horizontalDpi="180" verticalDpi="18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5052-D261-4511-87EE-FE302D88BB9F}">
  <dimension ref="A1:F57"/>
  <sheetViews>
    <sheetView topLeftCell="A34" workbookViewId="0">
      <selection activeCell="H42" sqref="H42"/>
    </sheetView>
  </sheetViews>
  <sheetFormatPr defaultRowHeight="14.4"/>
  <cols>
    <col min="1" max="1" width="9.5546875" style="2" bestFit="1" customWidth="1"/>
    <col min="2" max="2" width="11.33203125" style="2" customWidth="1"/>
    <col min="3" max="3" width="24.5546875" style="2" customWidth="1"/>
    <col min="4" max="6" width="8.88671875" style="2"/>
  </cols>
  <sheetData>
    <row r="1" spans="1:6">
      <c r="A1" s="2" t="s">
        <v>1</v>
      </c>
      <c r="B1" s="2" t="s">
        <v>3</v>
      </c>
      <c r="C1" s="2" t="s">
        <v>5</v>
      </c>
      <c r="D1" s="2" t="s">
        <v>7</v>
      </c>
      <c r="E1" s="2" t="s">
        <v>11</v>
      </c>
      <c r="F1" s="2" t="s">
        <v>9</v>
      </c>
    </row>
    <row r="2" spans="1:6">
      <c r="A2" s="3">
        <v>43102</v>
      </c>
      <c r="B2" s="2" t="s">
        <v>12</v>
      </c>
      <c r="C2" s="2" t="s">
        <v>16</v>
      </c>
      <c r="D2" s="2">
        <v>1000</v>
      </c>
      <c r="E2" s="2" t="s">
        <v>31</v>
      </c>
      <c r="F2" s="2">
        <v>3000</v>
      </c>
    </row>
    <row r="3" spans="1:6">
      <c r="A3" s="3">
        <v>43102</v>
      </c>
      <c r="B3" s="2" t="s">
        <v>12</v>
      </c>
      <c r="C3" s="2" t="s">
        <v>18</v>
      </c>
      <c r="D3" s="2">
        <v>2000</v>
      </c>
      <c r="E3" s="2" t="s">
        <v>31</v>
      </c>
      <c r="F3" s="2">
        <v>2800</v>
      </c>
    </row>
    <row r="4" spans="1:6">
      <c r="A4" s="3">
        <v>43102</v>
      </c>
      <c r="B4" s="2" t="s">
        <v>12</v>
      </c>
      <c r="C4" s="2" t="s">
        <v>20</v>
      </c>
      <c r="D4" s="2">
        <v>200</v>
      </c>
      <c r="E4" s="2" t="s">
        <v>31</v>
      </c>
      <c r="F4" s="2">
        <v>400</v>
      </c>
    </row>
    <row r="5" spans="1:6">
      <c r="A5" s="3">
        <v>43102</v>
      </c>
      <c r="B5" s="2" t="s">
        <v>12</v>
      </c>
      <c r="C5" s="2" t="s">
        <v>21</v>
      </c>
      <c r="D5" s="2">
        <v>1200</v>
      </c>
      <c r="E5" s="2" t="s">
        <v>31</v>
      </c>
      <c r="F5" s="2">
        <v>3000</v>
      </c>
    </row>
    <row r="6" spans="1:6">
      <c r="A6" s="3">
        <v>43102</v>
      </c>
      <c r="B6" s="2" t="s">
        <v>12</v>
      </c>
      <c r="C6" s="2" t="s">
        <v>22</v>
      </c>
      <c r="D6" s="2">
        <v>1300</v>
      </c>
      <c r="E6" s="2" t="s">
        <v>31</v>
      </c>
      <c r="F6" s="2">
        <v>2500</v>
      </c>
    </row>
    <row r="7" spans="1:6">
      <c r="A7" s="3">
        <v>43102</v>
      </c>
      <c r="B7" s="2" t="s">
        <v>12</v>
      </c>
      <c r="C7" s="2" t="s">
        <v>23</v>
      </c>
      <c r="D7" s="2">
        <v>1200</v>
      </c>
      <c r="E7" s="2" t="s">
        <v>31</v>
      </c>
      <c r="F7" s="2">
        <v>4500</v>
      </c>
    </row>
    <row r="8" spans="1:6">
      <c r="A8" s="3">
        <v>43102</v>
      </c>
      <c r="B8" s="2" t="s">
        <v>12</v>
      </c>
      <c r="C8" s="2" t="s">
        <v>24</v>
      </c>
      <c r="D8" s="2">
        <v>1200</v>
      </c>
      <c r="E8" s="2" t="s">
        <v>30</v>
      </c>
      <c r="F8" s="2">
        <v>4525</v>
      </c>
    </row>
    <row r="9" spans="1:6">
      <c r="A9" s="3">
        <v>43102</v>
      </c>
      <c r="B9" s="2" t="s">
        <v>13</v>
      </c>
      <c r="C9" s="2" t="s">
        <v>16</v>
      </c>
      <c r="D9" s="2">
        <v>1200</v>
      </c>
      <c r="E9" s="2" t="s">
        <v>35</v>
      </c>
      <c r="F9" s="2">
        <v>6365</v>
      </c>
    </row>
    <row r="10" spans="1:6">
      <c r="A10" s="3">
        <v>43102</v>
      </c>
      <c r="B10" s="2" t="s">
        <v>13</v>
      </c>
      <c r="C10" s="2" t="s">
        <v>18</v>
      </c>
      <c r="D10" s="2">
        <v>1300</v>
      </c>
      <c r="E10" s="2" t="s">
        <v>35</v>
      </c>
      <c r="F10" s="2">
        <v>3455</v>
      </c>
    </row>
    <row r="11" spans="1:6">
      <c r="A11" s="3">
        <v>43102</v>
      </c>
      <c r="B11" s="2" t="s">
        <v>13</v>
      </c>
      <c r="C11" s="2" t="s">
        <v>20</v>
      </c>
      <c r="D11" s="2">
        <v>2555</v>
      </c>
      <c r="E11" s="2" t="s">
        <v>35</v>
      </c>
      <c r="F11" s="2">
        <v>3452</v>
      </c>
    </row>
    <row r="12" spans="1:6">
      <c r="A12" s="3">
        <v>43102</v>
      </c>
      <c r="B12" s="2" t="s">
        <v>13</v>
      </c>
      <c r="C12" s="2" t="s">
        <v>21</v>
      </c>
      <c r="D12" s="2">
        <v>1111</v>
      </c>
      <c r="E12" s="2" t="s">
        <v>35</v>
      </c>
      <c r="F12" s="2">
        <v>5245</v>
      </c>
    </row>
    <row r="13" spans="1:6">
      <c r="A13" s="3">
        <v>43102</v>
      </c>
      <c r="B13" s="2" t="s">
        <v>13</v>
      </c>
      <c r="C13" s="2" t="s">
        <v>22</v>
      </c>
      <c r="D13" s="2">
        <v>1568</v>
      </c>
      <c r="E13" s="2" t="s">
        <v>35</v>
      </c>
      <c r="F13" s="2">
        <v>6246</v>
      </c>
    </row>
    <row r="14" spans="1:6">
      <c r="A14" s="3">
        <v>43102</v>
      </c>
      <c r="B14" s="2" t="s">
        <v>13</v>
      </c>
      <c r="C14" s="2" t="s">
        <v>23</v>
      </c>
      <c r="D14" s="2">
        <v>674</v>
      </c>
      <c r="E14" s="2" t="s">
        <v>35</v>
      </c>
      <c r="F14" s="2">
        <v>2462</v>
      </c>
    </row>
    <row r="15" spans="1:6">
      <c r="A15" s="3">
        <v>43102</v>
      </c>
      <c r="B15" s="2" t="s">
        <v>13</v>
      </c>
      <c r="C15" s="2" t="s">
        <v>24</v>
      </c>
      <c r="D15" s="2">
        <v>1895</v>
      </c>
      <c r="E15" s="2" t="s">
        <v>35</v>
      </c>
      <c r="F15" s="2">
        <v>6246</v>
      </c>
    </row>
    <row r="16" spans="1:6">
      <c r="A16" s="3">
        <v>43102</v>
      </c>
      <c r="B16" s="2" t="s">
        <v>14</v>
      </c>
      <c r="C16" s="2" t="s">
        <v>16</v>
      </c>
      <c r="D16" s="2">
        <v>1246</v>
      </c>
      <c r="E16" s="2" t="s">
        <v>37</v>
      </c>
      <c r="F16" s="2">
        <v>2675</v>
      </c>
    </row>
    <row r="17" spans="1:6">
      <c r="A17" s="3">
        <v>43102</v>
      </c>
      <c r="B17" s="2" t="s">
        <v>14</v>
      </c>
      <c r="C17" s="2" t="s">
        <v>18</v>
      </c>
      <c r="D17" s="2">
        <v>6345</v>
      </c>
      <c r="E17" s="2" t="s">
        <v>37</v>
      </c>
      <c r="F17" s="2">
        <v>8454</v>
      </c>
    </row>
    <row r="18" spans="1:6">
      <c r="A18" s="3">
        <v>43102</v>
      </c>
      <c r="B18" s="2" t="s">
        <v>14</v>
      </c>
      <c r="C18" s="2" t="s">
        <v>20</v>
      </c>
      <c r="D18" s="2">
        <v>2356</v>
      </c>
      <c r="E18" s="2" t="s">
        <v>37</v>
      </c>
      <c r="F18" s="2">
        <v>7345</v>
      </c>
    </row>
    <row r="19" spans="1:6">
      <c r="A19" s="3">
        <v>43102</v>
      </c>
      <c r="B19" s="2" t="s">
        <v>14</v>
      </c>
      <c r="C19" s="2" t="s">
        <v>21</v>
      </c>
      <c r="D19" s="2">
        <v>2567</v>
      </c>
      <c r="E19" s="2" t="s">
        <v>37</v>
      </c>
      <c r="F19" s="2">
        <v>8467</v>
      </c>
    </row>
    <row r="20" spans="1:6">
      <c r="A20" s="3">
        <v>43102</v>
      </c>
      <c r="B20" s="2" t="s">
        <v>14</v>
      </c>
      <c r="C20" s="2" t="s">
        <v>22</v>
      </c>
      <c r="D20" s="2">
        <v>4637</v>
      </c>
      <c r="E20" s="2" t="s">
        <v>37</v>
      </c>
      <c r="F20" s="2">
        <v>7567</v>
      </c>
    </row>
    <row r="21" spans="1:6">
      <c r="A21" s="3">
        <v>43102</v>
      </c>
      <c r="B21" s="2" t="s">
        <v>14</v>
      </c>
      <c r="C21" s="2" t="s">
        <v>23</v>
      </c>
      <c r="D21" s="2">
        <v>2473</v>
      </c>
      <c r="E21" s="2" t="s">
        <v>37</v>
      </c>
      <c r="F21" s="2">
        <v>6456</v>
      </c>
    </row>
    <row r="22" spans="1:6">
      <c r="A22" s="3">
        <v>43102</v>
      </c>
      <c r="B22" s="2" t="s">
        <v>14</v>
      </c>
      <c r="C22" s="2" t="s">
        <v>24</v>
      </c>
      <c r="D22" s="2">
        <v>4467</v>
      </c>
      <c r="E22" s="2" t="s">
        <v>37</v>
      </c>
      <c r="F22" s="2">
        <v>7846</v>
      </c>
    </row>
    <row r="23" spans="1:6">
      <c r="A23" s="3">
        <v>43102</v>
      </c>
      <c r="B23" s="2" t="s">
        <v>15</v>
      </c>
      <c r="C23" s="2" t="s">
        <v>16</v>
      </c>
      <c r="D23" s="2">
        <v>3573</v>
      </c>
      <c r="E23" s="2" t="s">
        <v>38</v>
      </c>
      <c r="F23" s="2">
        <v>8456</v>
      </c>
    </row>
    <row r="24" spans="1:6">
      <c r="A24" s="3">
        <v>43102</v>
      </c>
      <c r="B24" s="2" t="s">
        <v>15</v>
      </c>
      <c r="C24" s="2" t="s">
        <v>18</v>
      </c>
      <c r="D24" s="2">
        <v>2367</v>
      </c>
      <c r="E24" s="2" t="s">
        <v>38</v>
      </c>
      <c r="F24" s="2">
        <v>3624</v>
      </c>
    </row>
    <row r="25" spans="1:6">
      <c r="A25" s="3">
        <v>43102</v>
      </c>
      <c r="B25" s="2" t="s">
        <v>15</v>
      </c>
      <c r="C25" s="2" t="s">
        <v>20</v>
      </c>
      <c r="D25" s="2">
        <v>3462</v>
      </c>
      <c r="E25" s="2" t="s">
        <v>38</v>
      </c>
      <c r="F25" s="2">
        <v>7345</v>
      </c>
    </row>
    <row r="26" spans="1:6">
      <c r="A26" s="3">
        <v>43102</v>
      </c>
      <c r="B26" s="2" t="s">
        <v>15</v>
      </c>
      <c r="C26" s="2" t="s">
        <v>21</v>
      </c>
      <c r="D26" s="2">
        <v>3573</v>
      </c>
      <c r="E26" s="2" t="s">
        <v>38</v>
      </c>
      <c r="F26" s="2">
        <v>7357</v>
      </c>
    </row>
    <row r="27" spans="1:6">
      <c r="A27" s="3">
        <v>43102</v>
      </c>
      <c r="B27" s="2" t="s">
        <v>15</v>
      </c>
      <c r="C27" s="2" t="s">
        <v>22</v>
      </c>
      <c r="D27" s="2">
        <v>3462</v>
      </c>
      <c r="E27" s="2" t="s">
        <v>38</v>
      </c>
      <c r="F27" s="2">
        <v>4356</v>
      </c>
    </row>
    <row r="28" spans="1:6">
      <c r="A28" s="3">
        <v>43102</v>
      </c>
      <c r="B28" s="2" t="s">
        <v>15</v>
      </c>
      <c r="C28" s="2" t="s">
        <v>23</v>
      </c>
      <c r="D28" s="2">
        <v>236</v>
      </c>
      <c r="E28" s="2" t="s">
        <v>38</v>
      </c>
      <c r="F28" s="2">
        <v>2346</v>
      </c>
    </row>
    <row r="29" spans="1:6">
      <c r="A29" s="3">
        <v>43102</v>
      </c>
      <c r="B29" s="2" t="s">
        <v>15</v>
      </c>
      <c r="C29" s="2" t="s">
        <v>24</v>
      </c>
      <c r="D29" s="2">
        <v>1456</v>
      </c>
      <c r="E29" s="2" t="s">
        <v>38</v>
      </c>
      <c r="F29" s="2">
        <v>7453</v>
      </c>
    </row>
    <row r="30" spans="1:6">
      <c r="A30" s="3">
        <v>43102</v>
      </c>
      <c r="B30" s="2" t="s">
        <v>26</v>
      </c>
      <c r="C30" s="2" t="s">
        <v>16</v>
      </c>
      <c r="D30" s="2">
        <v>3466</v>
      </c>
      <c r="E30" s="2" t="s">
        <v>39</v>
      </c>
      <c r="F30" s="2">
        <v>7345</v>
      </c>
    </row>
    <row r="31" spans="1:6">
      <c r="A31" s="3">
        <v>43102</v>
      </c>
      <c r="B31" s="2" t="s">
        <v>26</v>
      </c>
      <c r="C31" s="2" t="s">
        <v>18</v>
      </c>
      <c r="D31" s="2">
        <v>1626</v>
      </c>
      <c r="E31" s="2" t="s">
        <v>39</v>
      </c>
      <c r="F31" s="2">
        <v>5734</v>
      </c>
    </row>
    <row r="32" spans="1:6">
      <c r="A32" s="3">
        <v>43102</v>
      </c>
      <c r="B32" s="2" t="s">
        <v>26</v>
      </c>
      <c r="C32" s="2" t="s">
        <v>20</v>
      </c>
      <c r="D32" s="2">
        <v>1673</v>
      </c>
      <c r="E32" s="2" t="s">
        <v>39</v>
      </c>
      <c r="F32" s="2">
        <v>6345</v>
      </c>
    </row>
    <row r="33" spans="1:6">
      <c r="A33" s="3">
        <v>43102</v>
      </c>
      <c r="B33" s="2" t="s">
        <v>26</v>
      </c>
      <c r="C33" s="2" t="s">
        <v>21</v>
      </c>
      <c r="D33" s="2">
        <v>1463</v>
      </c>
      <c r="E33" s="2" t="s">
        <v>39</v>
      </c>
      <c r="F33" s="2">
        <v>6356</v>
      </c>
    </row>
    <row r="34" spans="1:6">
      <c r="A34" s="3">
        <v>43102</v>
      </c>
      <c r="B34" s="2" t="s">
        <v>26</v>
      </c>
      <c r="C34" s="2" t="s">
        <v>22</v>
      </c>
      <c r="D34" s="2">
        <v>2273</v>
      </c>
      <c r="E34" s="2" t="s">
        <v>39</v>
      </c>
      <c r="F34" s="2">
        <v>2346</v>
      </c>
    </row>
    <row r="35" spans="1:6">
      <c r="A35" s="3">
        <v>43102</v>
      </c>
      <c r="B35" s="2" t="s">
        <v>26</v>
      </c>
      <c r="C35" s="2" t="s">
        <v>23</v>
      </c>
      <c r="D35" s="2">
        <v>2567</v>
      </c>
      <c r="E35" s="2" t="s">
        <v>39</v>
      </c>
      <c r="F35" s="2">
        <v>6345</v>
      </c>
    </row>
    <row r="36" spans="1:6">
      <c r="A36" s="3">
        <v>43102</v>
      </c>
      <c r="B36" s="2" t="s">
        <v>26</v>
      </c>
      <c r="C36" s="2" t="s">
        <v>24</v>
      </c>
      <c r="D36" s="2">
        <v>2467</v>
      </c>
      <c r="E36" s="2" t="s">
        <v>39</v>
      </c>
      <c r="F36" s="2">
        <f>4524</f>
        <v>4524</v>
      </c>
    </row>
    <row r="37" spans="1:6">
      <c r="A37" s="3">
        <v>43102</v>
      </c>
      <c r="B37" s="2" t="s">
        <v>27</v>
      </c>
      <c r="C37" s="2" t="s">
        <v>16</v>
      </c>
      <c r="D37" s="2">
        <v>1577</v>
      </c>
      <c r="E37" s="2" t="s">
        <v>41</v>
      </c>
      <c r="F37" s="2">
        <v>6345</v>
      </c>
    </row>
    <row r="38" spans="1:6">
      <c r="A38" s="3">
        <v>43102</v>
      </c>
      <c r="B38" s="2" t="s">
        <v>27</v>
      </c>
      <c r="C38" s="2" t="s">
        <v>18</v>
      </c>
      <c r="D38" s="2">
        <v>3477</v>
      </c>
      <c r="E38" s="2" t="s">
        <v>41</v>
      </c>
      <c r="F38" s="2">
        <v>3462</v>
      </c>
    </row>
    <row r="39" spans="1:6">
      <c r="A39" s="3">
        <v>43102</v>
      </c>
      <c r="B39" s="2" t="s">
        <v>27</v>
      </c>
      <c r="C39" s="2" t="s">
        <v>20</v>
      </c>
      <c r="D39" s="2">
        <v>2467</v>
      </c>
      <c r="E39" s="2" t="s">
        <v>41</v>
      </c>
      <c r="F39" s="2">
        <v>10567</v>
      </c>
    </row>
    <row r="40" spans="1:6">
      <c r="A40" s="3">
        <v>43102</v>
      </c>
      <c r="B40" s="2" t="s">
        <v>27</v>
      </c>
      <c r="C40" s="2" t="s">
        <v>21</v>
      </c>
      <c r="D40" s="2">
        <v>2467</v>
      </c>
      <c r="E40" s="2" t="s">
        <v>41</v>
      </c>
      <c r="F40" s="2">
        <v>8563</v>
      </c>
    </row>
    <row r="41" spans="1:6">
      <c r="A41" s="3">
        <v>43102</v>
      </c>
      <c r="B41" s="2" t="s">
        <v>27</v>
      </c>
      <c r="C41" s="2" t="s">
        <v>22</v>
      </c>
      <c r="D41" s="2">
        <v>1463</v>
      </c>
      <c r="E41" s="2" t="s">
        <v>41</v>
      </c>
      <c r="F41" s="2">
        <v>2456</v>
      </c>
    </row>
    <row r="42" spans="1:6">
      <c r="A42" s="3">
        <v>43102</v>
      </c>
      <c r="B42" s="2" t="s">
        <v>27</v>
      </c>
      <c r="C42" s="2" t="s">
        <v>23</v>
      </c>
      <c r="D42" s="2">
        <v>3777</v>
      </c>
      <c r="E42" s="2" t="s">
        <v>41</v>
      </c>
      <c r="F42" s="2">
        <v>7343</v>
      </c>
    </row>
    <row r="43" spans="1:6">
      <c r="A43" s="3">
        <v>43102</v>
      </c>
      <c r="B43" s="2" t="s">
        <v>27</v>
      </c>
      <c r="C43" s="2" t="s">
        <v>24</v>
      </c>
      <c r="D43" s="2">
        <v>3467</v>
      </c>
      <c r="E43" s="2" t="s">
        <v>41</v>
      </c>
      <c r="F43" s="2">
        <v>7345</v>
      </c>
    </row>
    <row r="44" spans="1:6">
      <c r="A44" s="3">
        <v>43102</v>
      </c>
      <c r="B44" s="2" t="s">
        <v>28</v>
      </c>
      <c r="C44" s="2" t="s">
        <v>16</v>
      </c>
      <c r="D44" s="2">
        <v>7345</v>
      </c>
      <c r="E44" s="2" t="s">
        <v>44</v>
      </c>
      <c r="F44" s="2">
        <v>8656</v>
      </c>
    </row>
    <row r="45" spans="1:6">
      <c r="A45" s="3">
        <v>43102</v>
      </c>
      <c r="B45" s="2" t="s">
        <v>28</v>
      </c>
      <c r="C45" s="2" t="s">
        <v>18</v>
      </c>
      <c r="D45" s="2">
        <v>4333</v>
      </c>
      <c r="E45" s="2" t="s">
        <v>44</v>
      </c>
      <c r="F45" s="2">
        <v>4357</v>
      </c>
    </row>
    <row r="46" spans="1:6">
      <c r="A46" s="3">
        <v>43102</v>
      </c>
      <c r="B46" s="2" t="s">
        <v>28</v>
      </c>
      <c r="C46" s="2" t="s">
        <v>20</v>
      </c>
      <c r="D46" s="2">
        <v>2463</v>
      </c>
      <c r="E46" s="2" t="s">
        <v>44</v>
      </c>
      <c r="F46" s="2">
        <v>8453</v>
      </c>
    </row>
    <row r="47" spans="1:6">
      <c r="A47" s="3">
        <v>43102</v>
      </c>
      <c r="B47" s="2" t="s">
        <v>28</v>
      </c>
      <c r="C47" s="2" t="s">
        <v>21</v>
      </c>
      <c r="D47" s="2">
        <v>2344</v>
      </c>
      <c r="E47" s="2" t="s">
        <v>44</v>
      </c>
      <c r="F47" s="2">
        <v>8358</v>
      </c>
    </row>
    <row r="48" spans="1:6">
      <c r="A48" s="3">
        <v>43102</v>
      </c>
      <c r="B48" s="2" t="s">
        <v>28</v>
      </c>
      <c r="C48" s="2" t="s">
        <v>22</v>
      </c>
      <c r="D48" s="2">
        <v>3466</v>
      </c>
      <c r="E48" s="2" t="s">
        <v>44</v>
      </c>
      <c r="F48" s="2">
        <v>3578</v>
      </c>
    </row>
    <row r="49" spans="1:6">
      <c r="A49" s="3">
        <v>43102</v>
      </c>
      <c r="B49" s="2" t="s">
        <v>28</v>
      </c>
      <c r="C49" s="2" t="s">
        <v>23</v>
      </c>
      <c r="D49" s="2">
        <v>2467</v>
      </c>
      <c r="E49" s="2" t="s">
        <v>44</v>
      </c>
      <c r="F49" s="2">
        <v>9564</v>
      </c>
    </row>
    <row r="50" spans="1:6">
      <c r="A50" s="3">
        <v>43102</v>
      </c>
      <c r="B50" s="2" t="s">
        <v>28</v>
      </c>
      <c r="C50" s="2" t="s">
        <v>24</v>
      </c>
      <c r="D50" s="2">
        <v>3447</v>
      </c>
      <c r="E50" s="2" t="s">
        <v>44</v>
      </c>
      <c r="F50" s="2">
        <v>8467</v>
      </c>
    </row>
    <row r="51" spans="1:6">
      <c r="A51" s="3">
        <v>43102</v>
      </c>
      <c r="B51" s="2" t="s">
        <v>29</v>
      </c>
      <c r="C51" s="2" t="s">
        <v>16</v>
      </c>
      <c r="D51" s="2">
        <v>3473</v>
      </c>
      <c r="E51" s="2" t="s">
        <v>45</v>
      </c>
      <c r="F51" s="2">
        <v>8543</v>
      </c>
    </row>
    <row r="52" spans="1:6">
      <c r="A52" s="3">
        <v>43102</v>
      </c>
      <c r="B52" s="2" t="s">
        <v>29</v>
      </c>
      <c r="C52" s="2" t="s">
        <v>18</v>
      </c>
      <c r="D52" s="2">
        <v>3467</v>
      </c>
      <c r="E52" s="2" t="s">
        <v>45</v>
      </c>
      <c r="F52" s="2">
        <v>6457</v>
      </c>
    </row>
    <row r="53" spans="1:6">
      <c r="A53" s="3">
        <v>43102</v>
      </c>
      <c r="B53" s="2" t="s">
        <v>29</v>
      </c>
      <c r="C53" s="2" t="s">
        <v>20</v>
      </c>
      <c r="D53" s="2">
        <v>3477</v>
      </c>
      <c r="E53" s="2" t="s">
        <v>45</v>
      </c>
      <c r="F53" s="2">
        <v>8945</v>
      </c>
    </row>
    <row r="54" spans="1:6">
      <c r="A54" s="3">
        <v>43102</v>
      </c>
      <c r="B54" s="2" t="s">
        <v>29</v>
      </c>
      <c r="C54" s="2" t="s">
        <v>21</v>
      </c>
      <c r="D54" s="2">
        <v>2344</v>
      </c>
      <c r="E54" s="2" t="s">
        <v>45</v>
      </c>
      <c r="F54" s="2">
        <v>3456</v>
      </c>
    </row>
    <row r="55" spans="1:6">
      <c r="A55" s="3">
        <v>43102</v>
      </c>
      <c r="B55" s="2" t="s">
        <v>29</v>
      </c>
      <c r="C55" s="2" t="s">
        <v>22</v>
      </c>
      <c r="D55" s="2">
        <v>5777</v>
      </c>
      <c r="E55" s="2" t="s">
        <v>45</v>
      </c>
      <c r="F55" s="2">
        <v>7345</v>
      </c>
    </row>
    <row r="56" spans="1:6">
      <c r="A56" s="3">
        <v>43102</v>
      </c>
      <c r="B56" s="2" t="s">
        <v>29</v>
      </c>
      <c r="C56" s="2" t="s">
        <v>23</v>
      </c>
      <c r="D56" s="2">
        <v>3478</v>
      </c>
      <c r="E56" s="2" t="s">
        <v>45</v>
      </c>
      <c r="F56" s="2">
        <v>7345</v>
      </c>
    </row>
    <row r="57" spans="1:6">
      <c r="A57" s="3">
        <v>43102</v>
      </c>
      <c r="B57" s="2" t="s">
        <v>29</v>
      </c>
      <c r="C57" s="2" t="s">
        <v>24</v>
      </c>
      <c r="D57" s="2">
        <v>6534</v>
      </c>
      <c r="E57" s="2" t="s">
        <v>45</v>
      </c>
      <c r="F57" s="2">
        <v>7234</v>
      </c>
    </row>
  </sheetData>
  <phoneticPr fontId="2" type="noConversion"/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53FA-C163-4BA0-8763-FC6A74D945FC}">
  <dimension ref="A1:C11"/>
  <sheetViews>
    <sheetView showGridLines="0" tabSelected="1" topLeftCell="A7" zoomScale="70" zoomScaleNormal="70" workbookViewId="0">
      <selection activeCell="G8" sqref="G8"/>
    </sheetView>
  </sheetViews>
  <sheetFormatPr defaultRowHeight="14.4"/>
  <cols>
    <col min="1" max="1" width="9.77734375" bestFit="1" customWidth="1"/>
    <col min="2" max="2" width="21.33203125" bestFit="1" customWidth="1"/>
    <col min="3" max="3" width="15.5546875" bestFit="1" customWidth="1"/>
    <col min="4" max="6" width="13.5546875" bestFit="1" customWidth="1"/>
  </cols>
  <sheetData>
    <row r="1" spans="1:3">
      <c r="A1" s="4" t="s">
        <v>4</v>
      </c>
      <c r="B1" t="s">
        <v>19</v>
      </c>
    </row>
    <row r="3" spans="1:3">
      <c r="A3" s="4" t="s">
        <v>10</v>
      </c>
      <c r="B3" t="s">
        <v>49</v>
      </c>
      <c r="C3" t="s">
        <v>48</v>
      </c>
    </row>
    <row r="4" spans="1:3">
      <c r="A4" t="s">
        <v>34</v>
      </c>
      <c r="B4" s="22">
        <v>3462</v>
      </c>
      <c r="C4" s="22">
        <v>7345</v>
      </c>
    </row>
    <row r="5" spans="1:3">
      <c r="A5" t="s">
        <v>32</v>
      </c>
      <c r="B5" s="22">
        <v>2555</v>
      </c>
      <c r="C5" s="22">
        <v>3452</v>
      </c>
    </row>
    <row r="6" spans="1:3">
      <c r="A6" t="s">
        <v>36</v>
      </c>
      <c r="B6" s="22">
        <v>1673</v>
      </c>
      <c r="C6" s="22">
        <v>6345</v>
      </c>
    </row>
    <row r="7" spans="1:3">
      <c r="A7" t="s">
        <v>30</v>
      </c>
      <c r="B7" s="22">
        <v>200</v>
      </c>
      <c r="C7" s="22">
        <v>400</v>
      </c>
    </row>
    <row r="8" spans="1:3">
      <c r="A8" t="s">
        <v>33</v>
      </c>
      <c r="B8" s="22">
        <v>2356</v>
      </c>
      <c r="C8" s="22">
        <v>7345</v>
      </c>
    </row>
    <row r="9" spans="1:3">
      <c r="A9" t="s">
        <v>43</v>
      </c>
      <c r="B9" s="22">
        <v>3477</v>
      </c>
      <c r="C9" s="22">
        <v>8945</v>
      </c>
    </row>
    <row r="10" spans="1:3">
      <c r="A10" t="s">
        <v>40</v>
      </c>
      <c r="B10" s="22">
        <v>2467</v>
      </c>
      <c r="C10" s="22">
        <v>10567</v>
      </c>
    </row>
    <row r="11" spans="1:3">
      <c r="A11" t="s">
        <v>42</v>
      </c>
      <c r="B11" s="22">
        <v>2463</v>
      </c>
      <c r="C11" s="22">
        <v>8453</v>
      </c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5F1E-9BDA-4BBB-A0B4-F21CF94BA870}">
  <dimension ref="A1:O15"/>
  <sheetViews>
    <sheetView zoomScale="85" zoomScaleNormal="85" workbookViewId="0">
      <selection activeCell="E19" sqref="E19"/>
    </sheetView>
  </sheetViews>
  <sheetFormatPr defaultRowHeight="14.4"/>
  <cols>
    <col min="1" max="1" width="8.88671875" style="5"/>
    <col min="2" max="2" width="16" style="5" customWidth="1"/>
    <col min="3" max="3" width="15.33203125" style="5" customWidth="1"/>
    <col min="4" max="4" width="17.5546875" style="5" customWidth="1"/>
    <col min="5" max="5" width="18.33203125" style="5" customWidth="1"/>
    <col min="6" max="6" width="12.109375" style="5" customWidth="1"/>
    <col min="7" max="7" width="12.5546875" style="6" customWidth="1"/>
    <col min="8" max="8" width="8.88671875" style="6"/>
    <col min="9" max="9" width="15.33203125" style="6" customWidth="1"/>
    <col min="10" max="10" width="12.109375" style="6" bestFit="1" customWidth="1"/>
    <col min="11" max="16384" width="8.88671875" style="6"/>
  </cols>
  <sheetData>
    <row r="1" spans="1:15" ht="28.8" customHeight="1">
      <c r="A1" s="9" t="s">
        <v>50</v>
      </c>
      <c r="B1" s="9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9" t="s">
        <v>55</v>
      </c>
      <c r="I1" s="6">
        <v>1</v>
      </c>
    </row>
    <row r="2" spans="1:15" ht="18" customHeight="1">
      <c r="A2" s="7" t="s">
        <v>56</v>
      </c>
      <c r="B2" s="8">
        <v>31225.804800928825</v>
      </c>
      <c r="C2" s="8">
        <v>35355.673273919565</v>
      </c>
      <c r="D2" s="8">
        <v>39853.054954834042</v>
      </c>
      <c r="E2" s="8">
        <v>92992.13664359058</v>
      </c>
      <c r="F2" s="8">
        <f t="shared" ref="F2:F14" si="0">SUM(B2:E2)</f>
        <v>199426.66967327302</v>
      </c>
      <c r="G2" s="11">
        <f>F2</f>
        <v>199426.66967327302</v>
      </c>
    </row>
    <row r="3" spans="1:15" ht="18" customHeight="1">
      <c r="A3" s="7" t="s">
        <v>57</v>
      </c>
      <c r="B3" s="8">
        <v>33588.889127213602</v>
      </c>
      <c r="C3" s="8">
        <v>15219.20449376577</v>
      </c>
      <c r="D3" s="8">
        <v>56886.53450938499</v>
      </c>
      <c r="E3" s="8">
        <v>58521.950315607843</v>
      </c>
      <c r="F3" s="8">
        <f t="shared" si="0"/>
        <v>164216.57844597221</v>
      </c>
      <c r="G3" s="11">
        <f t="shared" ref="G3:G13" si="1">F3</f>
        <v>164216.57844597221</v>
      </c>
    </row>
    <row r="4" spans="1:15" ht="18" customHeight="1">
      <c r="A4" s="7" t="s">
        <v>58</v>
      </c>
      <c r="B4" s="8">
        <v>7050.390781752003</v>
      </c>
      <c r="C4" s="8">
        <v>58648.341849889104</v>
      </c>
      <c r="D4" s="8">
        <v>6595.149989533722</v>
      </c>
      <c r="E4" s="8">
        <v>98410.920676457899</v>
      </c>
      <c r="F4" s="8">
        <f t="shared" si="0"/>
        <v>170704.80329763272</v>
      </c>
      <c r="G4" s="11">
        <f t="shared" si="1"/>
        <v>170704.80329763272</v>
      </c>
    </row>
    <row r="5" spans="1:15" ht="18" customHeight="1">
      <c r="A5" s="7" t="s">
        <v>59</v>
      </c>
      <c r="B5" s="8">
        <v>23336.36294573831</v>
      </c>
      <c r="C5" s="8">
        <v>86526.813922377347</v>
      </c>
      <c r="D5" s="8">
        <v>84292.975994392677</v>
      </c>
      <c r="E5" s="8">
        <v>57479.654730491035</v>
      </c>
      <c r="F5" s="8">
        <f t="shared" si="0"/>
        <v>251635.80759299936</v>
      </c>
      <c r="G5" s="11">
        <f t="shared" si="1"/>
        <v>251635.80759299936</v>
      </c>
    </row>
    <row r="6" spans="1:15" ht="18" customHeight="1">
      <c r="A6" s="7" t="s">
        <v>60</v>
      </c>
      <c r="B6" s="8">
        <v>55315.251411946119</v>
      </c>
      <c r="C6" s="8">
        <v>93519.421784813676</v>
      </c>
      <c r="D6" s="8">
        <v>96612.575555016971</v>
      </c>
      <c r="E6" s="8">
        <v>31979.031166373617</v>
      </c>
      <c r="F6" s="8">
        <f t="shared" si="0"/>
        <v>277426.27991815039</v>
      </c>
      <c r="G6" s="11">
        <f t="shared" si="1"/>
        <v>277426.27991815039</v>
      </c>
    </row>
    <row r="7" spans="1:15" ht="18" customHeight="1">
      <c r="A7" s="7" t="s">
        <v>61</v>
      </c>
      <c r="B7" s="8">
        <v>55774.064023814193</v>
      </c>
      <c r="C7" s="8">
        <v>73341.013526046023</v>
      </c>
      <c r="D7" s="8">
        <v>47352.392147946812</v>
      </c>
      <c r="E7" s="8">
        <v>96821.330287197081</v>
      </c>
      <c r="F7" s="8">
        <f t="shared" si="0"/>
        <v>273288.79998500412</v>
      </c>
      <c r="G7" s="11">
        <f t="shared" si="1"/>
        <v>273288.79998500412</v>
      </c>
    </row>
    <row r="8" spans="1:15" ht="18" customHeight="1">
      <c r="A8" s="7" t="s">
        <v>62</v>
      </c>
      <c r="B8" s="8">
        <v>86928.482765783818</v>
      </c>
      <c r="C8" s="8">
        <v>79693.389097434207</v>
      </c>
      <c r="D8" s="8">
        <v>31739.01401074465</v>
      </c>
      <c r="E8" s="8">
        <v>34864.170176724132</v>
      </c>
      <c r="F8" s="8">
        <f t="shared" si="0"/>
        <v>233225.05605068681</v>
      </c>
      <c r="G8" s="11">
        <f t="shared" si="1"/>
        <v>233225.05605068681</v>
      </c>
    </row>
    <row r="9" spans="1:15" ht="18" customHeight="1">
      <c r="A9" s="7" t="s">
        <v>63</v>
      </c>
      <c r="B9" s="8">
        <v>86039.253664742282</v>
      </c>
      <c r="C9" s="8">
        <v>20596.311438535475</v>
      </c>
      <c r="D9" s="8">
        <v>28959.76814947624</v>
      </c>
      <c r="E9" s="8">
        <v>83224.234990504847</v>
      </c>
      <c r="F9" s="8">
        <f t="shared" si="0"/>
        <v>218819.56824325887</v>
      </c>
      <c r="G9" s="11">
        <f t="shared" si="1"/>
        <v>218819.56824325887</v>
      </c>
    </row>
    <row r="10" spans="1:15" ht="18" customHeight="1">
      <c r="A10" s="7" t="s">
        <v>64</v>
      </c>
      <c r="B10" s="8">
        <v>95132.414216370657</v>
      </c>
      <c r="C10" s="8">
        <v>43659.958735926077</v>
      </c>
      <c r="D10" s="8">
        <v>8779.8876623601973</v>
      </c>
      <c r="E10" s="8">
        <v>55512.2936980749</v>
      </c>
      <c r="F10" s="8">
        <f t="shared" si="0"/>
        <v>203084.55431273187</v>
      </c>
      <c r="G10" s="11">
        <f t="shared" si="1"/>
        <v>203084.55431273187</v>
      </c>
    </row>
    <row r="11" spans="1:15" ht="18" customHeight="1">
      <c r="A11" s="7" t="s">
        <v>65</v>
      </c>
      <c r="B11" s="8">
        <v>36194.102115896618</v>
      </c>
      <c r="C11" s="8">
        <v>54028.377613133373</v>
      </c>
      <c r="D11" s="8">
        <v>69350.173419278522</v>
      </c>
      <c r="E11" s="8">
        <v>7570.3256441184249</v>
      </c>
      <c r="F11" s="8">
        <f t="shared" si="0"/>
        <v>167142.97879242693</v>
      </c>
      <c r="G11" s="11">
        <f t="shared" si="1"/>
        <v>167142.97879242693</v>
      </c>
    </row>
    <row r="12" spans="1:15" ht="18" customHeight="1">
      <c r="A12" s="7" t="s">
        <v>66</v>
      </c>
      <c r="B12" s="8">
        <v>70205.804292931323</v>
      </c>
      <c r="C12" s="8">
        <v>21102.245528991269</v>
      </c>
      <c r="D12" s="8">
        <v>61602.83556352125</v>
      </c>
      <c r="E12" s="8">
        <v>63163.937386799829</v>
      </c>
      <c r="F12" s="8">
        <f t="shared" si="0"/>
        <v>216074.82277224367</v>
      </c>
      <c r="G12" s="11">
        <f t="shared" si="1"/>
        <v>216074.82277224367</v>
      </c>
    </row>
    <row r="13" spans="1:15" ht="18" customHeight="1">
      <c r="A13" s="7" t="s">
        <v>67</v>
      </c>
      <c r="B13" s="8">
        <v>34819.001467896873</v>
      </c>
      <c r="C13" s="8">
        <v>9986.9989397945556</v>
      </c>
      <c r="D13" s="8">
        <v>77521.200315276103</v>
      </c>
      <c r="E13" s="8">
        <v>23115.808363657987</v>
      </c>
      <c r="F13" s="8">
        <f t="shared" si="0"/>
        <v>145443.00908662553</v>
      </c>
      <c r="G13" s="11">
        <f t="shared" si="1"/>
        <v>145443.00908662553</v>
      </c>
      <c r="I13" s="12" t="s">
        <v>50</v>
      </c>
      <c r="J13" s="12" t="s">
        <v>51</v>
      </c>
      <c r="K13" s="12" t="s">
        <v>52</v>
      </c>
      <c r="L13" s="12" t="s">
        <v>53</v>
      </c>
      <c r="M13" s="12" t="s">
        <v>54</v>
      </c>
      <c r="N13" s="12" t="s">
        <v>55</v>
      </c>
    </row>
    <row r="14" spans="1:15" ht="23.4" customHeight="1">
      <c r="A14" s="10" t="s">
        <v>68</v>
      </c>
      <c r="B14" s="8">
        <f>SUM(B2:B13)</f>
        <v>615609.82161501457</v>
      </c>
      <c r="C14" s="8">
        <f>SUM(C2:C13)</f>
        <v>591677.75020462647</v>
      </c>
      <c r="D14" s="8">
        <f>SUM(D2:D13)</f>
        <v>609545.56227176613</v>
      </c>
      <c r="E14" s="8">
        <f>SUM(E2:E13)</f>
        <v>703655.79407959827</v>
      </c>
      <c r="F14" s="8">
        <f t="shared" si="0"/>
        <v>2520488.9281710056</v>
      </c>
      <c r="I14" s="13" t="str">
        <f>INDEX(A2:A13,I1)&amp;"销售业绩"</f>
        <v>1月销售业绩</v>
      </c>
      <c r="J14" s="13">
        <f>INDEX($B$2:$F$13,$I$1,MATCH(J13,$B$1:$F$1,0))</f>
        <v>31225.804800928825</v>
      </c>
      <c r="K14" s="13">
        <f t="shared" ref="K14:N14" si="2">INDEX($B$2:$F$13,$I$1,MATCH(K13,$B$1:$F$1,0))</f>
        <v>35355.673273919565</v>
      </c>
      <c r="L14" s="13">
        <f t="shared" si="2"/>
        <v>39853.054954834042</v>
      </c>
      <c r="M14" s="13">
        <f t="shared" si="2"/>
        <v>92992.13664359058</v>
      </c>
      <c r="N14" s="13">
        <f t="shared" si="2"/>
        <v>199426.66967327302</v>
      </c>
    </row>
    <row r="15" spans="1:15" ht="30.6" customHeight="1">
      <c r="A15" s="7" t="s">
        <v>71</v>
      </c>
      <c r="B15" s="6"/>
      <c r="C15" s="6"/>
      <c r="D15" s="6"/>
      <c r="E15" s="6"/>
      <c r="I15" s="13" t="s">
        <v>74</v>
      </c>
      <c r="J15" s="16">
        <v>500000</v>
      </c>
      <c r="K15" s="13" t="s">
        <v>72</v>
      </c>
      <c r="L15" s="13">
        <f>INDEX($B$2:$F$13,$I$1,MATCH(N13,$B$1:$F$1,0))</f>
        <v>199426.66967327302</v>
      </c>
      <c r="M15" s="13" t="s">
        <v>73</v>
      </c>
      <c r="N15" s="14">
        <f>L15/J15</f>
        <v>0.39885333934654604</v>
      </c>
      <c r="O15" s="15">
        <f>1-N15</f>
        <v>0.6011466606534539</v>
      </c>
    </row>
  </sheetData>
  <phoneticPr fontId="2" type="noConversion"/>
  <conditionalFormatting sqref="G2:G13">
    <cfRule type="dataBar" priority="1">
      <dataBar showValue="0">
        <cfvo type="min"/>
        <cfvo type="max"/>
        <color rgb="FF70D5F7"/>
      </dataBar>
      <extLst>
        <ext xmlns:x14="http://schemas.microsoft.com/office/spreadsheetml/2009/9/main" uri="{B025F937-C7B1-47D3-B67F-A62EFF666E3E}">
          <x14:id>{65EBEE76-59C0-4451-8800-2A0ADBE2C86E}</x14:id>
        </ext>
      </extLst>
    </cfRule>
  </conditionalFormatting>
  <pageMargins left="0.7" right="0.7" top="0.75" bottom="0.75" header="0.3" footer="0.3"/>
  <pageSetup paperSize="9" orientation="portrait" horizontalDpi="180" verticalDpi="18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12</xdr:col>
                    <xdr:colOff>205740</xdr:colOff>
                    <xdr:row>2</xdr:row>
                    <xdr:rowOff>190500</xdr:rowOff>
                  </from>
                  <to>
                    <xdr:col>13</xdr:col>
                    <xdr:colOff>464820</xdr:colOff>
                    <xdr:row>3</xdr:row>
                    <xdr:rowOff>144780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EBEE76-59C0-4451-8800-2A0ADBE2C86E}">
            <x14:dataBar minLength="0" maxLength="100" border="1" gradient="0">
              <x14:cfvo type="autoMin"/>
              <x14:cfvo type="autoMax"/>
              <x14:borderColor rgb="FF24456E"/>
              <x14:negativeFillColor rgb="FFFF0000"/>
              <x14:axisColor rgb="FF000000"/>
            </x14:dataBar>
          </x14:cfRule>
          <xm:sqref>G2:G13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46B8E24-5C5A-41CC-AA52-4CB3EF7B8D1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案例二!B2:B13</xm:f>
              <xm:sqref>B15</xm:sqref>
            </x14:sparkline>
            <x14:sparkline>
              <xm:f>案例二!C2:C13</xm:f>
              <xm:sqref>C15</xm:sqref>
            </x14:sparkline>
            <x14:sparkline>
              <xm:f>案例二!D2:D13</xm:f>
              <xm:sqref>D15</xm:sqref>
            </x14:sparkline>
            <x14:sparkline>
              <xm:f>案例二!E2:E13</xm:f>
              <xm:sqref>E15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Sheet4</vt:lpstr>
      <vt:lpstr>案例一</vt:lpstr>
      <vt:lpstr>Sheet2</vt:lpstr>
      <vt:lpstr>案例二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2018-10-09T07:34:20Z</dcterms:created>
  <dcterms:modified xsi:type="dcterms:W3CDTF">2024-11-02T08:41:14Z</dcterms:modified>
</cp:coreProperties>
</file>