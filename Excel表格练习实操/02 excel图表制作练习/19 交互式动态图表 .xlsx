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trlProps/ctrlProp4.xml" ContentType="application/vnd.ms-excel.controlproperti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2.xml" ContentType="application/vnd.openxmlformats-officedocument.spreadsheetml.table+xml"/>
  <Override PartName="/xl/drawings/drawing6.xml" ContentType="application/vnd.openxmlformats-officedocument.drawing+xml"/>
  <Override PartName="/xl/tables/table3.xml" ContentType="application/vnd.openxmlformats-officedocument.spreadsheetml.table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25782\Desktop\数据分析\Excel表格操作练习实操\02 excel图表制作练习\"/>
    </mc:Choice>
  </mc:AlternateContent>
  <xr:revisionPtr revIDLastSave="0" documentId="13_ncr:1_{CD34F51E-9975-4793-8F4A-4A797934333F}" xr6:coauthVersionLast="47" xr6:coauthVersionMax="47" xr10:uidLastSave="{00000000-0000-0000-0000-000000000000}"/>
  <bookViews>
    <workbookView xWindow="-108" yWindow="-108" windowWidth="23256" windowHeight="12456" activeTab="4" xr2:uid="{54BFBC44-EA0C-4BF2-8A51-E9EF00DF486D}"/>
  </bookViews>
  <sheets>
    <sheet name="案例一" sheetId="1" r:id="rId1"/>
    <sheet name="案例二" sheetId="2" r:id="rId2"/>
    <sheet name="销售数据1" sheetId="3" r:id="rId3"/>
    <sheet name="销售报表1" sheetId="4" r:id="rId4"/>
    <sheet name="库存1" sheetId="5" r:id="rId5"/>
    <sheet name="销售数据" sheetId="6" r:id="rId6"/>
    <sheet name="销售报表" sheetId="7" r:id="rId7"/>
    <sheet name="库存" sheetId="8" r:id="rId8"/>
  </sheets>
  <definedNames>
    <definedName name="季度">案例一!$A$2:$A$5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31" i="1" l="1"/>
  <c r="C29" i="1"/>
  <c r="D29" i="1"/>
  <c r="E29" i="1"/>
  <c r="B29" i="1"/>
  <c r="C28" i="1"/>
  <c r="D28" i="1"/>
  <c r="E28" i="1"/>
  <c r="B28" i="1"/>
  <c r="B21" i="1"/>
  <c r="B22" i="1"/>
  <c r="B23" i="1"/>
  <c r="B24" i="1"/>
  <c r="B20" i="1"/>
  <c r="F15" i="7"/>
  <c r="G15" i="7" s="1"/>
  <c r="F14" i="7"/>
  <c r="G14" i="7" s="1"/>
  <c r="F13" i="7"/>
  <c r="G13" i="7" s="1"/>
  <c r="F12" i="7"/>
  <c r="G12" i="7" s="1"/>
  <c r="F11" i="7"/>
  <c r="G11" i="7" s="1"/>
  <c r="F10" i="7"/>
  <c r="G10" i="7" s="1"/>
  <c r="F9" i="7"/>
  <c r="G9" i="7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C3" i="2"/>
  <c r="D3" i="2"/>
  <c r="E3" i="2"/>
  <c r="F3" i="2"/>
  <c r="G3" i="2"/>
  <c r="H3" i="2"/>
  <c r="I3" i="2"/>
  <c r="J3" i="2"/>
  <c r="K3" i="2"/>
  <c r="L3" i="2"/>
  <c r="M3" i="2"/>
  <c r="B3" i="2"/>
  <c r="C8" i="1"/>
  <c r="D8" i="1"/>
  <c r="E8" i="1"/>
  <c r="B8" i="1"/>
  <c r="F15" i="4"/>
  <c r="G15" i="4" s="1"/>
  <c r="F14" i="4"/>
  <c r="G14" i="4" s="1"/>
  <c r="F13" i="4"/>
  <c r="G13" i="4" s="1"/>
  <c r="F12" i="4"/>
  <c r="G12" i="4" s="1"/>
  <c r="F11" i="4"/>
  <c r="G11" i="4" s="1"/>
  <c r="F10" i="4"/>
  <c r="G10" i="4" s="1"/>
  <c r="F9" i="4"/>
  <c r="G9" i="4" s="1"/>
  <c r="H9" i="3"/>
  <c r="I9" i="3" s="1"/>
  <c r="H10" i="3"/>
  <c r="I10" i="3"/>
  <c r="H11" i="3"/>
  <c r="I11" i="3"/>
  <c r="H12" i="3"/>
  <c r="I12" i="3" s="1"/>
  <c r="H13" i="3"/>
  <c r="I13" i="3" s="1"/>
  <c r="H14" i="3"/>
  <c r="I14" i="3" s="1"/>
  <c r="H15" i="3"/>
  <c r="I15" i="3"/>
</calcChain>
</file>

<file path=xl/sharedStrings.xml><?xml version="1.0" encoding="utf-8"?>
<sst xmlns="http://schemas.openxmlformats.org/spreadsheetml/2006/main" count="176" uniqueCount="59">
  <si>
    <t>季度</t>
    <phoneticPr fontId="3" type="noConversion"/>
  </si>
  <si>
    <t>HP</t>
    <phoneticPr fontId="3" type="noConversion"/>
  </si>
  <si>
    <t>DELL</t>
    <phoneticPr fontId="3" type="noConversion"/>
  </si>
  <si>
    <t>APPLE</t>
    <phoneticPr fontId="3" type="noConversion"/>
  </si>
  <si>
    <t>LENOVO</t>
    <phoneticPr fontId="3" type="noConversion"/>
  </si>
  <si>
    <t>第一季度</t>
    <phoneticPr fontId="3" type="noConversion"/>
  </si>
  <si>
    <t>第二季度</t>
    <phoneticPr fontId="3" type="noConversion"/>
  </si>
  <si>
    <t>第三季度</t>
    <phoneticPr fontId="3" type="noConversion"/>
  </si>
  <si>
    <t>第四季度</t>
    <phoneticPr fontId="3" type="noConversion"/>
  </si>
  <si>
    <t>年份</t>
    <phoneticPr fontId="3" type="noConversion"/>
  </si>
  <si>
    <t>1月</t>
    <phoneticPr fontId="3" type="noConversion"/>
  </si>
  <si>
    <t>2月</t>
    <phoneticPr fontId="3" type="noConversion"/>
  </si>
  <si>
    <t>3月</t>
    <phoneticPr fontId="3" type="noConversion"/>
  </si>
  <si>
    <t>4月</t>
    <phoneticPr fontId="3" type="noConversion"/>
  </si>
  <si>
    <t>5月</t>
  </si>
  <si>
    <t>6月</t>
  </si>
  <si>
    <t>7月</t>
  </si>
  <si>
    <t>8月</t>
  </si>
  <si>
    <t>9月</t>
  </si>
  <si>
    <t>10月</t>
  </si>
  <si>
    <t>11月</t>
  </si>
  <si>
    <t>12月</t>
  </si>
  <si>
    <t>销售统计表</t>
    <phoneticPr fontId="3" type="noConversion"/>
  </si>
  <si>
    <t>日期</t>
    <phoneticPr fontId="3" type="noConversion"/>
  </si>
  <si>
    <t>交易号</t>
    <phoneticPr fontId="3" type="noConversion"/>
  </si>
  <si>
    <t>产品编号</t>
    <phoneticPr fontId="3" type="noConversion"/>
  </si>
  <si>
    <t>产品</t>
    <phoneticPr fontId="3" type="noConversion"/>
  </si>
  <si>
    <t>销售额</t>
    <phoneticPr fontId="3" type="noConversion"/>
  </si>
  <si>
    <t>税率</t>
    <phoneticPr fontId="3" type="noConversion"/>
  </si>
  <si>
    <t>营业税</t>
    <phoneticPr fontId="3" type="noConversion"/>
  </si>
  <si>
    <t>总计</t>
    <phoneticPr fontId="3" type="noConversion"/>
  </si>
  <si>
    <t>90001</t>
    <phoneticPr fontId="3" type="noConversion"/>
  </si>
  <si>
    <t>90002</t>
  </si>
  <si>
    <t>90003</t>
  </si>
  <si>
    <t>90004</t>
  </si>
  <si>
    <t>90005</t>
  </si>
  <si>
    <t>90006</t>
  </si>
  <si>
    <t>90007</t>
  </si>
  <si>
    <t>小米手机</t>
    <phoneticPr fontId="3" type="noConversion"/>
  </si>
  <si>
    <t>小米笔记本</t>
    <phoneticPr fontId="3" type="noConversion"/>
  </si>
  <si>
    <t>毛巾</t>
    <phoneticPr fontId="3" type="noConversion"/>
  </si>
  <si>
    <t>枕头</t>
    <phoneticPr fontId="3" type="noConversion"/>
  </si>
  <si>
    <t>棉被</t>
    <phoneticPr fontId="3" type="noConversion"/>
  </si>
  <si>
    <t>拖鞋</t>
    <phoneticPr fontId="3" type="noConversion"/>
  </si>
  <si>
    <t>衣架</t>
    <phoneticPr fontId="3" type="noConversion"/>
  </si>
  <si>
    <t>碟子</t>
    <phoneticPr fontId="3" type="noConversion"/>
  </si>
  <si>
    <t>洗衣机</t>
    <phoneticPr fontId="3" type="noConversion"/>
  </si>
  <si>
    <t>刷子</t>
    <phoneticPr fontId="3" type="noConversion"/>
  </si>
  <si>
    <t>笔记本</t>
    <phoneticPr fontId="3" type="noConversion"/>
  </si>
  <si>
    <t>钢笔</t>
    <phoneticPr fontId="3" type="noConversion"/>
  </si>
  <si>
    <t>毛刷</t>
    <phoneticPr fontId="3" type="noConversion"/>
  </si>
  <si>
    <t>垫子</t>
    <phoneticPr fontId="3" type="noConversion"/>
  </si>
  <si>
    <t>电池</t>
    <phoneticPr fontId="3" type="noConversion"/>
  </si>
  <si>
    <t>水杯</t>
    <phoneticPr fontId="3" type="noConversion"/>
  </si>
  <si>
    <t>牙膏</t>
    <phoneticPr fontId="3" type="noConversion"/>
  </si>
  <si>
    <t>画笔</t>
    <phoneticPr fontId="3" type="noConversion"/>
  </si>
  <si>
    <t>触摸板</t>
    <phoneticPr fontId="3" type="noConversion"/>
  </si>
  <si>
    <t>第三季度</t>
  </si>
  <si>
    <t>第二季度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</si>
</sst>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.00_);[Red]\(&quot;¥&quot;#,##0.00\)"/>
  </numFmts>
  <fonts count="6" x14ac:knownFonts="1">
    <font>
      <sz val="11"/>
      <color theme="1"/>
      <name val="黑体"/>
      <family val="2"/>
      <charset val="134"/>
    </font>
    <font>
      <b/>
      <sz val="11"/>
      <color theme="0"/>
      <name val="黑体"/>
      <family val="2"/>
      <charset val="134"/>
    </font>
    <font>
      <sz val="11"/>
      <color theme="0"/>
      <name val="黑体"/>
      <family val="2"/>
      <charset val="134"/>
    </font>
    <font>
      <sz val="9"/>
      <name val="黑体"/>
      <family val="2"/>
      <charset val="134"/>
    </font>
    <font>
      <b/>
      <sz val="36"/>
      <color rgb="FF00B050"/>
      <name val="微软雅黑"/>
      <family val="2"/>
      <charset val="134"/>
    </font>
    <font>
      <b/>
      <sz val="28"/>
      <color rgb="FF00B05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0" xfId="0" applyFill="1">
      <alignment vertical="center"/>
    </xf>
    <xf numFmtId="0" fontId="4" fillId="3" borderId="0" xfId="0" applyFont="1" applyFill="1">
      <alignment vertical="center"/>
    </xf>
    <xf numFmtId="14" fontId="0" fillId="0" borderId="0" xfId="0" applyNumberFormat="1">
      <alignment vertical="center"/>
    </xf>
    <xf numFmtId="49" fontId="0" fillId="0" borderId="0" xfId="0" applyNumberFormat="1">
      <alignment vertical="center"/>
    </xf>
    <xf numFmtId="9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1" fillId="4" borderId="2" xfId="0" applyFont="1" applyFill="1" applyBorder="1">
      <alignment vertical="center"/>
    </xf>
    <xf numFmtId="0" fontId="1" fillId="4" borderId="3" xfId="0" applyFont="1" applyFill="1" applyBorder="1">
      <alignment vertical="center"/>
    </xf>
    <xf numFmtId="0" fontId="0" fillId="5" borderId="2" xfId="0" applyFill="1" applyBorder="1">
      <alignment vertical="center"/>
    </xf>
    <xf numFmtId="49" fontId="0" fillId="5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9" fontId="0" fillId="5" borderId="2" xfId="0" applyNumberFormat="1" applyFill="1" applyBorder="1">
      <alignment vertical="center"/>
    </xf>
    <xf numFmtId="176" fontId="0" fillId="5" borderId="3" xfId="0" applyNumberFormat="1" applyFill="1" applyBorder="1">
      <alignment vertical="center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176" fontId="0" fillId="0" borderId="2" xfId="0" applyNumberFormat="1" applyBorder="1">
      <alignment vertical="center"/>
    </xf>
    <xf numFmtId="9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5" fillId="3" borderId="0" xfId="0" applyFont="1" applyFill="1">
      <alignment vertical="center"/>
    </xf>
  </cellXfs>
  <cellStyles count="1">
    <cellStyle name="常规" xfId="0" builtinId="0"/>
  </cellStyles>
  <dxfs count="12">
    <dxf>
      <numFmt numFmtId="176" formatCode="&quot;¥&quot;#,##0.00_);[Red]\(&quot;¥&quot;#,##0.00\)"/>
    </dxf>
    <dxf>
      <numFmt numFmtId="176" formatCode="&quot;¥&quot;#,##0.00_);[Red]\(&quot;¥&quot;#,##0.00\)"/>
    </dxf>
    <dxf>
      <numFmt numFmtId="13" formatCode="0%"/>
    </dxf>
    <dxf>
      <numFmt numFmtId="176" formatCode="&quot;¥&quot;#,##0.00_);[Red]\(&quot;¥&quot;#,##0.00\)"/>
    </dxf>
    <dxf>
      <numFmt numFmtId="30" formatCode="@"/>
    </dxf>
    <dxf>
      <numFmt numFmtId="19" formatCode="yyyy/m/d"/>
    </dxf>
    <dxf>
      <numFmt numFmtId="176" formatCode="&quot;¥&quot;#,##0.00_);[Red]\(&quot;¥&quot;#,##0.00\)"/>
    </dxf>
    <dxf>
      <numFmt numFmtId="176" formatCode="&quot;¥&quot;#,##0.00_);[Red]\(&quot;¥&quot;#,##0.00\)"/>
    </dxf>
    <dxf>
      <numFmt numFmtId="13" formatCode="0%"/>
    </dxf>
    <dxf>
      <numFmt numFmtId="176" formatCode="&quot;¥&quot;#,##0.00_);[Red]\(&quot;¥&quot;#,##0.00\)"/>
    </dxf>
    <dxf>
      <numFmt numFmtId="30" formatCode="@"/>
    </dxf>
    <dxf>
      <numFmt numFmtId="19" formatCode="yyyy/m/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案例一!$B$7:$E$7</c:f>
              <c:strCache>
                <c:ptCount val="4"/>
                <c:pt idx="0">
                  <c:v>HP</c:v>
                </c:pt>
                <c:pt idx="1">
                  <c:v>DELL</c:v>
                </c:pt>
                <c:pt idx="2">
                  <c:v>APPLE</c:v>
                </c:pt>
                <c:pt idx="3">
                  <c:v>LENOVO</c:v>
                </c:pt>
              </c:strCache>
            </c:strRef>
          </c:cat>
          <c:val>
            <c:numRef>
              <c:f>案例一!$B$8:$E$8</c:f>
              <c:numCache>
                <c:formatCode>General</c:formatCode>
                <c:ptCount val="4"/>
                <c:pt idx="0">
                  <c:v>59</c:v>
                </c:pt>
                <c:pt idx="1">
                  <c:v>99</c:v>
                </c:pt>
                <c:pt idx="2">
                  <c:v>37</c:v>
                </c:pt>
                <c:pt idx="3">
                  <c:v>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E5-42C1-B16B-5BD12D52823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71913544"/>
        <c:axId val="471911248"/>
      </c:barChart>
      <c:catAx>
        <c:axId val="471913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71911248"/>
        <c:crosses val="autoZero"/>
        <c:auto val="1"/>
        <c:lblAlgn val="ctr"/>
        <c:lblOffset val="100"/>
        <c:noMultiLvlLbl val="0"/>
      </c:catAx>
      <c:valAx>
        <c:axId val="471911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4719135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案例一!$A$21:$A$24</c:f>
              <c:strCache>
                <c:ptCount val="4"/>
                <c:pt idx="0">
                  <c:v>HP</c:v>
                </c:pt>
                <c:pt idx="1">
                  <c:v>DELL</c:v>
                </c:pt>
                <c:pt idx="2">
                  <c:v>APPLE</c:v>
                </c:pt>
                <c:pt idx="3">
                  <c:v>LENOVO</c:v>
                </c:pt>
              </c:strCache>
            </c:strRef>
          </c:cat>
          <c:val>
            <c:numRef>
              <c:f>案例一!$B$21:$B$24</c:f>
              <c:numCache>
                <c:formatCode>General</c:formatCode>
                <c:ptCount val="4"/>
                <c:pt idx="0">
                  <c:v>90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B3-425F-8683-3F4305AE8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571392"/>
        <c:axId val="1333563232"/>
      </c:barChart>
      <c:catAx>
        <c:axId val="1333571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333563232"/>
        <c:crosses val="autoZero"/>
        <c:auto val="1"/>
        <c:lblAlgn val="ctr"/>
        <c:lblOffset val="100"/>
        <c:noMultiLvlLbl val="0"/>
      </c:catAx>
      <c:valAx>
        <c:axId val="13335632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33571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案例一!$A$31</c:f>
          <c:strCache>
            <c:ptCount val="1"/>
            <c:pt idx="0">
              <c:v>第二季度对比第三季度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案例一!$A$28</c:f>
              <c:strCache>
                <c:ptCount val="1"/>
                <c:pt idx="0">
                  <c:v>第二季度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案例一!$B$27:$E$27</c:f>
              <c:strCache>
                <c:ptCount val="4"/>
                <c:pt idx="0">
                  <c:v>HP</c:v>
                </c:pt>
                <c:pt idx="1">
                  <c:v>DELL</c:v>
                </c:pt>
                <c:pt idx="2">
                  <c:v>APPLE</c:v>
                </c:pt>
                <c:pt idx="3">
                  <c:v>LENOVO</c:v>
                </c:pt>
              </c:strCache>
            </c:strRef>
          </c:cat>
          <c:val>
            <c:numRef>
              <c:f>案例一!$B$28:$E$28</c:f>
              <c:numCache>
                <c:formatCode>General</c:formatCode>
                <c:ptCount val="4"/>
                <c:pt idx="0">
                  <c:v>90</c:v>
                </c:pt>
                <c:pt idx="1">
                  <c:v>35</c:v>
                </c:pt>
                <c:pt idx="2">
                  <c:v>36</c:v>
                </c:pt>
                <c:pt idx="3">
                  <c:v>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2C-4EFA-9F24-737C0E226E47}"/>
            </c:ext>
          </c:extLst>
        </c:ser>
        <c:ser>
          <c:idx val="1"/>
          <c:order val="1"/>
          <c:tx>
            <c:strRef>
              <c:f>案例一!$A$29</c:f>
              <c:strCache>
                <c:ptCount val="1"/>
                <c:pt idx="0">
                  <c:v>第三季度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案例一!$B$27:$E$27</c:f>
              <c:strCache>
                <c:ptCount val="4"/>
                <c:pt idx="0">
                  <c:v>HP</c:v>
                </c:pt>
                <c:pt idx="1">
                  <c:v>DELL</c:v>
                </c:pt>
                <c:pt idx="2">
                  <c:v>APPLE</c:v>
                </c:pt>
                <c:pt idx="3">
                  <c:v>LENOVO</c:v>
                </c:pt>
              </c:strCache>
            </c:strRef>
          </c:cat>
          <c:val>
            <c:numRef>
              <c:f>案例一!$B$29:$E$29</c:f>
              <c:numCache>
                <c:formatCode>General</c:formatCode>
                <c:ptCount val="4"/>
                <c:pt idx="0">
                  <c:v>59</c:v>
                </c:pt>
                <c:pt idx="1">
                  <c:v>99</c:v>
                </c:pt>
                <c:pt idx="2">
                  <c:v>37</c:v>
                </c:pt>
                <c:pt idx="3">
                  <c:v>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C2C-4EFA-9F24-737C0E226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3539952"/>
        <c:axId val="983542832"/>
      </c:lineChart>
      <c:catAx>
        <c:axId val="98353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542832"/>
        <c:crosses val="autoZero"/>
        <c:auto val="1"/>
        <c:lblAlgn val="ctr"/>
        <c:lblOffset val="100"/>
        <c:noMultiLvlLbl val="0"/>
      </c:catAx>
      <c:valAx>
        <c:axId val="983542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8353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案例二!$B$1:$M$1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案例二!$B$2:$M$2</c:f>
              <c:numCache>
                <c:formatCode>General</c:formatCode>
                <c:ptCount val="12"/>
                <c:pt idx="0">
                  <c:v>56</c:v>
                </c:pt>
                <c:pt idx="1">
                  <c:v>51</c:v>
                </c:pt>
                <c:pt idx="2">
                  <c:v>14</c:v>
                </c:pt>
                <c:pt idx="3">
                  <c:v>63</c:v>
                </c:pt>
                <c:pt idx="4">
                  <c:v>21</c:v>
                </c:pt>
                <c:pt idx="5">
                  <c:v>84</c:v>
                </c:pt>
                <c:pt idx="6">
                  <c:v>73</c:v>
                </c:pt>
                <c:pt idx="7">
                  <c:v>94</c:v>
                </c:pt>
                <c:pt idx="8">
                  <c:v>45</c:v>
                </c:pt>
                <c:pt idx="9">
                  <c:v>62</c:v>
                </c:pt>
                <c:pt idx="10">
                  <c:v>34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1D-444B-8419-AC11C6B7EEB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14"/>
            <c:spPr>
              <a:solidFill>
                <a:schemeClr val="accent5"/>
              </a:solidFill>
              <a:ln w="31750">
                <a:solidFill>
                  <a:schemeClr val="bg1"/>
                </a:solidFill>
              </a:ln>
              <a:effectLst/>
            </c:spPr>
          </c:marker>
          <c:cat>
            <c:strRef>
              <c:f>案例二!$B$1:$M$1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案例二!$B$3:$M$3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21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1D-444B-8419-AC11C6B7E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4090200"/>
        <c:axId val="94082656"/>
      </c:lineChart>
      <c:catAx>
        <c:axId val="94090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4082656"/>
        <c:crosses val="autoZero"/>
        <c:auto val="1"/>
        <c:lblAlgn val="ctr"/>
        <c:lblOffset val="100"/>
        <c:noMultiLvlLbl val="0"/>
      </c:catAx>
      <c:valAx>
        <c:axId val="940826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94090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4" dropStyle="combo" dx="26" fmlaLink="$A$8" fmlaRange="$A$2:$A$5" sel="3" val="0"/>
</file>

<file path=xl/ctrlProps/ctrlProp2.xml><?xml version="1.0" encoding="utf-8"?>
<formControlPr xmlns="http://schemas.microsoft.com/office/spreadsheetml/2009/9/main" objectType="Drop" dropLines="4" dropStyle="combo" dx="26" fmlaLink="$A$8" fmlaRange="$A$2:$A$5" sel="3" val="0"/>
</file>

<file path=xl/ctrlProps/ctrlProp3.xml><?xml version="1.0" encoding="utf-8"?>
<formControlPr xmlns="http://schemas.microsoft.com/office/spreadsheetml/2009/9/main" objectType="Drop" dropLines="4" dropStyle="combo" dx="26" fmlaLink="$A$11" fmlaRange="$J$2:$J$5" sel="2" val="0"/>
</file>

<file path=xl/ctrlProps/ctrlProp4.xml><?xml version="1.0" encoding="utf-8"?>
<formControlPr xmlns="http://schemas.microsoft.com/office/spreadsheetml/2009/9/main" objectType="Scroll" dx="26" fmlaLink="$A$3" horiz="1" max="12" min="1" page="10" val="5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4211;&#23384;1!A1"/><Relationship Id="rId2" Type="http://schemas.openxmlformats.org/officeDocument/2006/relationships/hyperlink" Target="#&#38144;&#21806;&#25253;&#34920;1!A1"/><Relationship Id="rId1" Type="http://schemas.openxmlformats.org/officeDocument/2006/relationships/hyperlink" Target="#&#38144;&#21806;&#25968;&#25454;1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hyperlink" Target="#&#24211;&#23384;1!A1"/><Relationship Id="rId1" Type="http://schemas.openxmlformats.org/officeDocument/2006/relationships/hyperlink" Target="#&#38144;&#21806;&#25968;&#25454;1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hyperlink" Target="#&#38144;&#21806;&#25253;&#34920;1!A1"/><Relationship Id="rId1" Type="http://schemas.openxmlformats.org/officeDocument/2006/relationships/hyperlink" Target="#&#38144;&#21806;&#25968;&#25454;1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4211;&#23384;!A1"/><Relationship Id="rId2" Type="http://schemas.openxmlformats.org/officeDocument/2006/relationships/hyperlink" Target="#&#38144;&#21806;&#25253;&#34920;!A1"/><Relationship Id="rId1" Type="http://schemas.openxmlformats.org/officeDocument/2006/relationships/hyperlink" Target="#&#38144;&#21806;&#25968;&#25454;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&#24211;&#23384;!A1"/><Relationship Id="rId1" Type="http://schemas.openxmlformats.org/officeDocument/2006/relationships/hyperlink" Target="#&#38144;&#21806;&#25968;&#25454;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hyperlink" Target="#&#38144;&#21806;&#25253;&#34920;!A1"/><Relationship Id="rId1" Type="http://schemas.openxmlformats.org/officeDocument/2006/relationships/hyperlink" Target="#&#38144;&#21806;&#25968;&#25454;!A1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1325880</xdr:colOff>
          <xdr:row>1</xdr:row>
          <xdr:rowOff>91440</xdr:rowOff>
        </xdr:from>
        <xdr:to>
          <xdr:col>7</xdr:col>
          <xdr:colOff>693420</xdr:colOff>
          <xdr:row>2</xdr:row>
          <xdr:rowOff>167640</xdr:rowOff>
        </xdr:to>
        <xdr:sp macro="" textlink="">
          <xdr:nvSpPr>
            <xdr:cNvPr id="1025" name="Drop Dow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1569720</xdr:colOff>
          <xdr:row>4</xdr:row>
          <xdr:rowOff>114300</xdr:rowOff>
        </xdr:from>
        <xdr:to>
          <xdr:col>8</xdr:col>
          <xdr:colOff>22860</xdr:colOff>
          <xdr:row>5</xdr:row>
          <xdr:rowOff>121920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505642</xdr:colOff>
      <xdr:row>6</xdr:row>
      <xdr:rowOff>192677</xdr:rowOff>
    </xdr:from>
    <xdr:to>
      <xdr:col>9</xdr:col>
      <xdr:colOff>764722</xdr:colOff>
      <xdr:row>15</xdr:row>
      <xdr:rowOff>261257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975D2C1A-DD20-4CDF-B533-75E6B5E85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892629</xdr:colOff>
      <xdr:row>6</xdr:row>
      <xdr:rowOff>97971</xdr:rowOff>
    </xdr:from>
    <xdr:to>
      <xdr:col>16</xdr:col>
      <xdr:colOff>10886</xdr:colOff>
      <xdr:row>16</xdr:row>
      <xdr:rowOff>228599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F27AD98C-2EAA-37D7-D55B-0F9C4D0415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525780</xdr:colOff>
          <xdr:row>2</xdr:row>
          <xdr:rowOff>175260</xdr:rowOff>
        </xdr:from>
        <xdr:to>
          <xdr:col>15</xdr:col>
          <xdr:colOff>160020</xdr:colOff>
          <xdr:row>4</xdr:row>
          <xdr:rowOff>160020</xdr:rowOff>
        </xdr:to>
        <xdr:sp macro="" textlink="">
          <xdr:nvSpPr>
            <xdr:cNvPr id="1028" name="Drop Dow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1513113</xdr:colOff>
      <xdr:row>17</xdr:row>
      <xdr:rowOff>239485</xdr:rowOff>
    </xdr:from>
    <xdr:to>
      <xdr:col>14</xdr:col>
      <xdr:colOff>620484</xdr:colOff>
      <xdr:row>31</xdr:row>
      <xdr:rowOff>65314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A4E082C6-1A7E-9B63-9176-BC32D9AF6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518160</xdr:colOff>
          <xdr:row>17</xdr:row>
          <xdr:rowOff>251460</xdr:rowOff>
        </xdr:from>
        <xdr:to>
          <xdr:col>7</xdr:col>
          <xdr:colOff>525780</xdr:colOff>
          <xdr:row>18</xdr:row>
          <xdr:rowOff>182880</xdr:rowOff>
        </xdr:to>
        <xdr:sp macro="" textlink="">
          <xdr:nvSpPr>
            <xdr:cNvPr id="1031" name="ComboBox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441960</xdr:colOff>
          <xdr:row>17</xdr:row>
          <xdr:rowOff>259080</xdr:rowOff>
        </xdr:from>
        <xdr:to>
          <xdr:col>13</xdr:col>
          <xdr:colOff>457200</xdr:colOff>
          <xdr:row>18</xdr:row>
          <xdr:rowOff>175260</xdr:rowOff>
        </xdr:to>
        <xdr:sp macro="" textlink="">
          <xdr:nvSpPr>
            <xdr:cNvPr id="1032" name="ComboBox2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773430</xdr:colOff>
      <xdr:row>3</xdr:row>
      <xdr:rowOff>30480</xdr:rowOff>
    </xdr:from>
    <xdr:to>
      <xdr:col>13</xdr:col>
      <xdr:colOff>0</xdr:colOff>
      <xdr:row>12</xdr:row>
      <xdr:rowOff>114300</xdr:rowOff>
    </xdr:to>
    <xdr:grpSp>
      <xdr:nvGrpSpPr>
        <xdr:cNvPr id="6" name="组合 5">
          <a:extLst>
            <a:ext uri="{FF2B5EF4-FFF2-40B4-BE49-F238E27FC236}">
              <a16:creationId xmlns:a16="http://schemas.microsoft.com/office/drawing/2014/main" id="{457F70E5-28E4-4EF3-B9B1-8130560C6E7E}"/>
            </a:ext>
          </a:extLst>
        </xdr:cNvPr>
        <xdr:cNvGrpSpPr/>
      </xdr:nvGrpSpPr>
      <xdr:grpSpPr>
        <a:xfrm>
          <a:off x="773430" y="762000"/>
          <a:ext cx="9627870" cy="2278380"/>
          <a:chOff x="773430" y="762000"/>
          <a:chExt cx="9627870" cy="2278380"/>
        </a:xfrm>
      </xdr:grpSpPr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1" name="Scroll Bar 3" hidden="1">
                <a:extLst>
                  <a:ext uri="{63B3BB69-23CF-44E3-9099-C40C66FF867C}">
                    <a14:compatExt spid="_x0000_s2051"/>
                  </a:ext>
                  <a:ext uri="{FF2B5EF4-FFF2-40B4-BE49-F238E27FC236}">
                    <a16:creationId xmlns:a16="http://schemas.microsoft.com/office/drawing/2014/main" id="{00000000-0008-0000-0100-000003080000}"/>
                  </a:ext>
                </a:extLst>
              </xdr:cNvPr>
              <xdr:cNvSpPr/>
            </xdr:nvSpPr>
            <xdr:spPr bwMode="auto">
              <a:xfrm>
                <a:off x="792480" y="2705100"/>
                <a:ext cx="9608820" cy="335280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</xdr:spPr>
          </xdr:sp>
        </mc:Choice>
        <mc:Fallback/>
      </mc:AlternateContent>
      <xdr:graphicFrame macro="">
        <xdr:nvGraphicFramePr>
          <xdr:cNvPr id="5" name="图表 4">
            <a:extLst>
              <a:ext uri="{FF2B5EF4-FFF2-40B4-BE49-F238E27FC236}">
                <a16:creationId xmlns:a16="http://schemas.microsoft.com/office/drawing/2014/main" id="{99703565-F5B6-482A-9087-64C9A43CAD0F}"/>
              </a:ext>
            </a:extLst>
          </xdr:cNvPr>
          <xdr:cNvGraphicFramePr/>
        </xdr:nvGraphicFramePr>
        <xdr:xfrm>
          <a:off x="773430" y="762000"/>
          <a:ext cx="9620250" cy="19431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449580</xdr:colOff>
      <xdr:row>2</xdr:row>
      <xdr:rowOff>114300</xdr:rowOff>
    </xdr:from>
    <xdr:to>
      <xdr:col>3</xdr:col>
      <xdr:colOff>87180</xdr:colOff>
      <xdr:row>5</xdr:row>
      <xdr:rowOff>12060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A40EF214-091D-4945-8E7F-AD6DBC0CC3A1}"/>
            </a:ext>
          </a:extLst>
        </xdr:cNvPr>
        <xdr:cNvGrpSpPr/>
      </xdr:nvGrpSpPr>
      <xdr:grpSpPr>
        <a:xfrm>
          <a:off x="449580" y="937260"/>
          <a:ext cx="1321620" cy="446400"/>
          <a:chOff x="701040" y="1584960"/>
          <a:chExt cx="1321620" cy="446400"/>
        </a:xfrm>
      </xdr:grpSpPr>
      <xdr:sp macro="" textlink="">
        <xdr:nvSpPr>
          <xdr:cNvPr id="6" name="矩形 5">
            <a:hlinkClick xmlns:r="http://schemas.openxmlformats.org/officeDocument/2006/relationships" r:id="rId1"/>
            <a:extLst>
              <a:ext uri="{FF2B5EF4-FFF2-40B4-BE49-F238E27FC236}">
                <a16:creationId xmlns:a16="http://schemas.microsoft.com/office/drawing/2014/main" id="{8B652F9B-FC38-4408-87AB-ADE655EE75FB}"/>
              </a:ext>
            </a:extLst>
          </xdr:cNvPr>
          <xdr:cNvSpPr/>
        </xdr:nvSpPr>
        <xdr:spPr>
          <a:xfrm>
            <a:off x="708660" y="158496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 b="1">
                <a:solidFill>
                  <a:schemeClr val="accent2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销售数据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EF994611-59D2-4439-903A-C62BF3F42DB6}"/>
              </a:ext>
            </a:extLst>
          </xdr:cNvPr>
          <xdr:cNvSpPr/>
        </xdr:nvSpPr>
        <xdr:spPr>
          <a:xfrm>
            <a:off x="701040" y="1584960"/>
            <a:ext cx="1314000" cy="45719"/>
          </a:xfrm>
          <a:prstGeom prst="rect">
            <a:avLst/>
          </a:prstGeom>
          <a:ln>
            <a:noFill/>
          </a:ln>
        </xdr:spPr>
        <xdr:style>
          <a:lnRef idx="2">
            <a:schemeClr val="accent2">
              <a:shade val="50000"/>
            </a:schemeClr>
          </a:lnRef>
          <a:fillRef idx="1">
            <a:schemeClr val="accent2"/>
          </a:fillRef>
          <a:effectRef idx="0">
            <a:schemeClr val="accent2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</xdr:col>
      <xdr:colOff>236220</xdr:colOff>
      <xdr:row>2</xdr:row>
      <xdr:rowOff>114300</xdr:rowOff>
    </xdr:from>
    <xdr:to>
      <xdr:col>5</xdr:col>
      <xdr:colOff>94800</xdr:colOff>
      <xdr:row>5</xdr:row>
      <xdr:rowOff>12060</xdr:rowOff>
    </xdr:to>
    <xdr:sp macro="" textlink="">
      <xdr:nvSpPr>
        <xdr:cNvPr id="3" name="矩形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CBE384B-FB36-43D0-A619-076C7123D994}"/>
            </a:ext>
          </a:extLst>
        </xdr:cNvPr>
        <xdr:cNvSpPr/>
      </xdr:nvSpPr>
      <xdr:spPr>
        <a:xfrm>
          <a:off x="1920240" y="93726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销售报表</a:t>
          </a:r>
        </a:p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220980</xdr:colOff>
      <xdr:row>2</xdr:row>
      <xdr:rowOff>114300</xdr:rowOff>
    </xdr:from>
    <xdr:to>
      <xdr:col>7</xdr:col>
      <xdr:colOff>201480</xdr:colOff>
      <xdr:row>5</xdr:row>
      <xdr:rowOff>12060</xdr:rowOff>
    </xdr:to>
    <xdr:sp macro="" textlink="">
      <xdr:nvSpPr>
        <xdr:cNvPr id="4" name="矩形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FFB8461-D81D-419F-9C42-480BB27C24A2}"/>
            </a:ext>
          </a:extLst>
        </xdr:cNvPr>
        <xdr:cNvSpPr/>
      </xdr:nvSpPr>
      <xdr:spPr>
        <a:xfrm>
          <a:off x="3360420" y="93726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600" b="1">
              <a:solidFill>
                <a:schemeClr val="lt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库存</a:t>
          </a:r>
          <a:endParaRPr lang="zh-CN" altLang="zh-CN" sz="1600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2</xdr:row>
      <xdr:rowOff>106680</xdr:rowOff>
    </xdr:from>
    <xdr:to>
      <xdr:col>4</xdr:col>
      <xdr:colOff>422460</xdr:colOff>
      <xdr:row>5</xdr:row>
      <xdr:rowOff>4440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C0691DD2-0003-451F-9C1E-E2C4228CD89E}"/>
            </a:ext>
          </a:extLst>
        </xdr:cNvPr>
        <xdr:cNvGrpSpPr/>
      </xdr:nvGrpSpPr>
      <xdr:grpSpPr>
        <a:xfrm>
          <a:off x="2065020" y="929640"/>
          <a:ext cx="1321620" cy="446400"/>
          <a:chOff x="2164080" y="1584960"/>
          <a:chExt cx="1321620" cy="446400"/>
        </a:xfrm>
      </xdr:grpSpPr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10DA48C5-426D-4271-9B60-2D53A4B0D1F9}"/>
              </a:ext>
            </a:extLst>
          </xdr:cNvPr>
          <xdr:cNvSpPr/>
        </xdr:nvSpPr>
        <xdr:spPr>
          <a:xfrm>
            <a:off x="2171700" y="158496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 b="1">
                <a:solidFill>
                  <a:srgbClr val="92D050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销售报表</a:t>
            </a:r>
          </a:p>
          <a:p>
            <a:pPr algn="l"/>
            <a:endParaRPr lang="zh-CN" altLang="en-US" sz="1100"/>
          </a:p>
        </xdr:txBody>
      </xdr:sp>
      <xdr:sp macro="" textlink="">
        <xdr:nvSpPr>
          <xdr:cNvPr id="16" name="矩形 15">
            <a:extLst>
              <a:ext uri="{FF2B5EF4-FFF2-40B4-BE49-F238E27FC236}">
                <a16:creationId xmlns:a16="http://schemas.microsoft.com/office/drawing/2014/main" id="{6F65B4D6-F60B-4AD3-B86A-FF0F90163FE6}"/>
              </a:ext>
            </a:extLst>
          </xdr:cNvPr>
          <xdr:cNvSpPr/>
        </xdr:nvSpPr>
        <xdr:spPr>
          <a:xfrm>
            <a:off x="2164080" y="1584960"/>
            <a:ext cx="1314000" cy="45719"/>
          </a:xfrm>
          <a:prstGeom prst="rect">
            <a:avLst/>
          </a:prstGeom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1</xdr:col>
      <xdr:colOff>0</xdr:colOff>
      <xdr:row>2</xdr:row>
      <xdr:rowOff>106680</xdr:rowOff>
    </xdr:from>
    <xdr:to>
      <xdr:col>2</xdr:col>
      <xdr:colOff>536760</xdr:colOff>
      <xdr:row>5</xdr:row>
      <xdr:rowOff>4440</xdr:rowOff>
    </xdr:to>
    <xdr:sp macro="" textlink="">
      <xdr:nvSpPr>
        <xdr:cNvPr id="8" name="矩形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3E56B2-9A8F-4243-82CF-AFC414F94305}"/>
            </a:ext>
          </a:extLst>
        </xdr:cNvPr>
        <xdr:cNvSpPr/>
      </xdr:nvSpPr>
      <xdr:spPr>
        <a:xfrm>
          <a:off x="609600" y="92964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销售数据</a:t>
          </a:r>
        </a:p>
      </xdr:txBody>
    </xdr:sp>
    <xdr:clientData/>
  </xdr:twoCellAnchor>
  <xdr:twoCellAnchor>
    <xdr:from>
      <xdr:col>4</xdr:col>
      <xdr:colOff>548640</xdr:colOff>
      <xdr:row>2</xdr:row>
      <xdr:rowOff>106680</xdr:rowOff>
    </xdr:from>
    <xdr:to>
      <xdr:col>6</xdr:col>
      <xdr:colOff>491040</xdr:colOff>
      <xdr:row>5</xdr:row>
      <xdr:rowOff>4440</xdr:rowOff>
    </xdr:to>
    <xdr:sp macro="" textlink="">
      <xdr:nvSpPr>
        <xdr:cNvPr id="10" name="矩形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F81BC61-1F1E-47FC-B875-FE75AA2A8824}"/>
            </a:ext>
          </a:extLst>
        </xdr:cNvPr>
        <xdr:cNvSpPr/>
      </xdr:nvSpPr>
      <xdr:spPr>
        <a:xfrm>
          <a:off x="3512820" y="92964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CN" altLang="en-US" sz="1600" b="1">
              <a:solidFill>
                <a:schemeClr val="lt1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库存</a:t>
          </a:r>
          <a:endParaRPr lang="zh-CN" altLang="zh-CN" sz="1600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l"/>
          <a:endParaRPr lang="zh-CN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2</xdr:row>
      <xdr:rowOff>83820</xdr:rowOff>
    </xdr:from>
    <xdr:to>
      <xdr:col>2</xdr:col>
      <xdr:colOff>635820</xdr:colOff>
      <xdr:row>4</xdr:row>
      <xdr:rowOff>164460</xdr:rowOff>
    </xdr:to>
    <xdr:sp macro="" textlink="">
      <xdr:nvSpPr>
        <xdr:cNvPr id="3" name="矩形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F98B39-0B6B-4598-BC52-BDB1D42DC3DB}"/>
            </a:ext>
          </a:extLst>
        </xdr:cNvPr>
        <xdr:cNvSpPr/>
      </xdr:nvSpPr>
      <xdr:spPr>
        <a:xfrm>
          <a:off x="708660" y="90678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销售数据</a:t>
          </a:r>
        </a:p>
      </xdr:txBody>
    </xdr:sp>
    <xdr:clientData/>
  </xdr:twoCellAnchor>
  <xdr:twoCellAnchor>
    <xdr:from>
      <xdr:col>4</xdr:col>
      <xdr:colOff>784860</xdr:colOff>
      <xdr:row>2</xdr:row>
      <xdr:rowOff>91440</xdr:rowOff>
    </xdr:from>
    <xdr:to>
      <xdr:col>6</xdr:col>
      <xdr:colOff>452940</xdr:colOff>
      <xdr:row>4</xdr:row>
      <xdr:rowOff>172080</xdr:rowOff>
    </xdr:to>
    <xdr:grpSp>
      <xdr:nvGrpSpPr>
        <xdr:cNvPr id="14" name="组合 13">
          <a:extLst>
            <a:ext uri="{FF2B5EF4-FFF2-40B4-BE49-F238E27FC236}">
              <a16:creationId xmlns:a16="http://schemas.microsoft.com/office/drawing/2014/main" id="{9E6FD255-7562-4202-A103-08328C95F5DE}"/>
            </a:ext>
          </a:extLst>
        </xdr:cNvPr>
        <xdr:cNvGrpSpPr/>
      </xdr:nvGrpSpPr>
      <xdr:grpSpPr>
        <a:xfrm>
          <a:off x="3604260" y="914400"/>
          <a:ext cx="1321620" cy="446400"/>
          <a:chOff x="3604260" y="1584960"/>
          <a:chExt cx="1321620" cy="446400"/>
        </a:xfrm>
      </xdr:grpSpPr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EC95287F-6F42-4E24-86DD-4DCEF8E23DD9}"/>
              </a:ext>
            </a:extLst>
          </xdr:cNvPr>
          <xdr:cNvSpPr/>
        </xdr:nvSpPr>
        <xdr:spPr>
          <a:xfrm>
            <a:off x="3611880" y="158496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zh-CN" altLang="en-US" sz="1600" b="1">
                <a:solidFill>
                  <a:schemeClr val="accent5"/>
                </a:solidFill>
                <a:effectLst/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rPr>
              <a:t>库存</a:t>
            </a:r>
            <a:endParaRPr lang="zh-CN" altLang="zh-CN" sz="1600">
              <a:solidFill>
                <a:schemeClr val="accent5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endParaRPr>
          </a:p>
          <a:p>
            <a:pPr algn="l"/>
            <a:endParaRPr lang="zh-CN" altLang="en-US" sz="1100"/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B775C52-1961-4259-8E36-CB3925E28E41}"/>
              </a:ext>
            </a:extLst>
          </xdr:cNvPr>
          <xdr:cNvSpPr/>
        </xdr:nvSpPr>
        <xdr:spPr>
          <a:xfrm>
            <a:off x="3604260" y="1584960"/>
            <a:ext cx="1314000" cy="45719"/>
          </a:xfrm>
          <a:prstGeom prst="rect">
            <a:avLst/>
          </a:prstGeom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endParaRPr lang="zh-CN" altLang="en-US" sz="1100"/>
          </a:p>
        </xdr:txBody>
      </xdr:sp>
    </xdr:grpSp>
    <xdr:clientData/>
  </xdr:twoCellAnchor>
  <xdr:twoCellAnchor>
    <xdr:from>
      <xdr:col>3</xdr:col>
      <xdr:colOff>129540</xdr:colOff>
      <xdr:row>2</xdr:row>
      <xdr:rowOff>83820</xdr:rowOff>
    </xdr:from>
    <xdr:to>
      <xdr:col>4</xdr:col>
      <xdr:colOff>666300</xdr:colOff>
      <xdr:row>4</xdr:row>
      <xdr:rowOff>164460</xdr:rowOff>
    </xdr:to>
    <xdr:sp macro="" textlink="">
      <xdr:nvSpPr>
        <xdr:cNvPr id="6" name="矩形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F029513-3ECA-4842-84E9-9AA932E2364E}"/>
            </a:ext>
          </a:extLst>
        </xdr:cNvPr>
        <xdr:cNvSpPr/>
      </xdr:nvSpPr>
      <xdr:spPr>
        <a:xfrm>
          <a:off x="2171700" y="90678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销售报表</a:t>
          </a:r>
        </a:p>
        <a:p>
          <a:pPr algn="l"/>
          <a:endParaRPr lang="zh-CN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2</xdr:row>
      <xdr:rowOff>68580</xdr:rowOff>
    </xdr:from>
    <xdr:to>
      <xdr:col>2</xdr:col>
      <xdr:colOff>818700</xdr:colOff>
      <xdr:row>4</xdr:row>
      <xdr:rowOff>149220</xdr:rowOff>
    </xdr:to>
    <xdr:grpSp>
      <xdr:nvGrpSpPr>
        <xdr:cNvPr id="13" name="组合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15F5F0-7082-458F-A233-31F7F93E1A86}"/>
            </a:ext>
          </a:extLst>
        </xdr:cNvPr>
        <xdr:cNvGrpSpPr/>
      </xdr:nvGrpSpPr>
      <xdr:grpSpPr>
        <a:xfrm>
          <a:off x="373380" y="754380"/>
          <a:ext cx="1314000" cy="446400"/>
          <a:chOff x="731520" y="1325880"/>
          <a:chExt cx="1314000" cy="446400"/>
        </a:xfrm>
      </xdr:grpSpPr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B9FAAC2A-BC49-4D8D-8027-11315209026D}"/>
              </a:ext>
            </a:extLst>
          </xdr:cNvPr>
          <xdr:cNvSpPr/>
        </xdr:nvSpPr>
        <xdr:spPr>
          <a:xfrm>
            <a:off x="731520" y="132588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 b="1">
                <a:solidFill>
                  <a:schemeClr val="accent4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销售数据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AF7417D0-139E-4323-83D5-04C10AD12484}"/>
              </a:ext>
            </a:extLst>
          </xdr:cNvPr>
          <xdr:cNvSpPr/>
        </xdr:nvSpPr>
        <xdr:spPr>
          <a:xfrm>
            <a:off x="731520" y="1325880"/>
            <a:ext cx="1314000" cy="53340"/>
          </a:xfrm>
          <a:prstGeom prst="rect">
            <a:avLst/>
          </a:prstGeom>
          <a:ln>
            <a:noFill/>
          </a:ln>
        </xdr:spPr>
        <xdr:style>
          <a:lnRef idx="2">
            <a:schemeClr val="accent4">
              <a:shade val="50000"/>
            </a:schemeClr>
          </a:lnRef>
          <a:fillRef idx="1">
            <a:schemeClr val="accent4"/>
          </a:fillRef>
          <a:effectRef idx="0">
            <a:schemeClr val="accent4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3</xdr:col>
      <xdr:colOff>76200</xdr:colOff>
      <xdr:row>2</xdr:row>
      <xdr:rowOff>68580</xdr:rowOff>
    </xdr:from>
    <xdr:to>
      <xdr:col>5</xdr:col>
      <xdr:colOff>26220</xdr:colOff>
      <xdr:row>4</xdr:row>
      <xdr:rowOff>149220</xdr:rowOff>
    </xdr:to>
    <xdr:sp macro="" textlink="">
      <xdr:nvSpPr>
        <xdr:cNvPr id="3" name="矩形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3456751-3437-4964-9D14-4A4A05E63A66}"/>
            </a:ext>
          </a:extLst>
        </xdr:cNvPr>
        <xdr:cNvSpPr/>
      </xdr:nvSpPr>
      <xdr:spPr>
        <a:xfrm>
          <a:off x="2171700" y="75438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销售报表</a:t>
          </a:r>
        </a:p>
      </xdr:txBody>
    </xdr:sp>
    <xdr:clientData/>
  </xdr:twoCellAnchor>
  <xdr:twoCellAnchor>
    <xdr:from>
      <xdr:col>5</xdr:col>
      <xdr:colOff>167640</xdr:colOff>
      <xdr:row>2</xdr:row>
      <xdr:rowOff>68580</xdr:rowOff>
    </xdr:from>
    <xdr:to>
      <xdr:col>6</xdr:col>
      <xdr:colOff>574860</xdr:colOff>
      <xdr:row>4</xdr:row>
      <xdr:rowOff>149220</xdr:rowOff>
    </xdr:to>
    <xdr:sp macro="" textlink="">
      <xdr:nvSpPr>
        <xdr:cNvPr id="4" name="矩形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0A8F1D6-F8EF-4EC5-9474-D48908204ED1}"/>
            </a:ext>
          </a:extLst>
        </xdr:cNvPr>
        <xdr:cNvSpPr/>
      </xdr:nvSpPr>
      <xdr:spPr>
        <a:xfrm>
          <a:off x="3627120" y="75438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库存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708660</xdr:colOff>
      <xdr:row>2</xdr:row>
      <xdr:rowOff>99060</xdr:rowOff>
    </xdr:from>
    <xdr:to>
      <xdr:col>4</xdr:col>
      <xdr:colOff>231960</xdr:colOff>
      <xdr:row>4</xdr:row>
      <xdr:rowOff>179700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7B24085B-0FB2-49EC-B1AB-7A089434B4F9}"/>
            </a:ext>
          </a:extLst>
        </xdr:cNvPr>
        <xdr:cNvGrpSpPr/>
      </xdr:nvGrpSpPr>
      <xdr:grpSpPr>
        <a:xfrm>
          <a:off x="1699260" y="784860"/>
          <a:ext cx="1314000" cy="446400"/>
          <a:chOff x="2179320" y="1325880"/>
          <a:chExt cx="1314000" cy="446400"/>
        </a:xfrm>
      </xdr:grpSpPr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A29DBF06-B58F-4A61-AE04-9784B5004B03}"/>
              </a:ext>
            </a:extLst>
          </xdr:cNvPr>
          <xdr:cNvSpPr/>
        </xdr:nvSpPr>
        <xdr:spPr>
          <a:xfrm>
            <a:off x="2179320" y="132588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 b="1">
                <a:solidFill>
                  <a:schemeClr val="accent6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销售报表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97B4A8EE-3D2D-4116-89A2-6B9EACC1688C}"/>
              </a:ext>
            </a:extLst>
          </xdr:cNvPr>
          <xdr:cNvSpPr/>
        </xdr:nvSpPr>
        <xdr:spPr>
          <a:xfrm>
            <a:off x="2179320" y="1325880"/>
            <a:ext cx="1314000" cy="53340"/>
          </a:xfrm>
          <a:prstGeom prst="rect">
            <a:avLst/>
          </a:prstGeom>
          <a:ln>
            <a:noFill/>
          </a:ln>
        </xdr:spPr>
        <xdr:style>
          <a:lnRef idx="2">
            <a:schemeClr val="accent6">
              <a:shade val="50000"/>
            </a:schemeClr>
          </a:lnRef>
          <a:fillRef idx="1">
            <a:schemeClr val="accent6"/>
          </a:fillRef>
          <a:effectRef idx="0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0</xdr:col>
      <xdr:colOff>601980</xdr:colOff>
      <xdr:row>2</xdr:row>
      <xdr:rowOff>99060</xdr:rowOff>
    </xdr:from>
    <xdr:to>
      <xdr:col>2</xdr:col>
      <xdr:colOff>574860</xdr:colOff>
      <xdr:row>4</xdr:row>
      <xdr:rowOff>179700</xdr:rowOff>
    </xdr:to>
    <xdr:sp macro="" textlink="">
      <xdr:nvSpPr>
        <xdr:cNvPr id="2" name="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4AE5BB-A7F5-4F59-96FF-3F7BA3029EBE}"/>
            </a:ext>
          </a:extLst>
        </xdr:cNvPr>
        <xdr:cNvSpPr/>
      </xdr:nvSpPr>
      <xdr:spPr>
        <a:xfrm>
          <a:off x="601980" y="78486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销售数据</a:t>
          </a:r>
        </a:p>
      </xdr:txBody>
    </xdr:sp>
    <xdr:clientData/>
  </xdr:twoCellAnchor>
  <xdr:twoCellAnchor>
    <xdr:from>
      <xdr:col>4</xdr:col>
      <xdr:colOff>373380</xdr:colOff>
      <xdr:row>2</xdr:row>
      <xdr:rowOff>99060</xdr:rowOff>
    </xdr:from>
    <xdr:to>
      <xdr:col>6</xdr:col>
      <xdr:colOff>468180</xdr:colOff>
      <xdr:row>4</xdr:row>
      <xdr:rowOff>179700</xdr:rowOff>
    </xdr:to>
    <xdr:sp macro="" textlink="">
      <xdr:nvSpPr>
        <xdr:cNvPr id="4" name="矩形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2724F2A-0F06-4346-A6F5-3559E4A26812}"/>
            </a:ext>
          </a:extLst>
        </xdr:cNvPr>
        <xdr:cNvSpPr/>
      </xdr:nvSpPr>
      <xdr:spPr>
        <a:xfrm>
          <a:off x="3505200" y="78486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库存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419100</xdr:colOff>
      <xdr:row>2</xdr:row>
      <xdr:rowOff>99060</xdr:rowOff>
    </xdr:from>
    <xdr:to>
      <xdr:col>7</xdr:col>
      <xdr:colOff>513900</xdr:colOff>
      <xdr:row>4</xdr:row>
      <xdr:rowOff>179700</xdr:rowOff>
    </xdr:to>
    <xdr:grpSp>
      <xdr:nvGrpSpPr>
        <xdr:cNvPr id="5" name="组合 4">
          <a:extLst>
            <a:ext uri="{FF2B5EF4-FFF2-40B4-BE49-F238E27FC236}">
              <a16:creationId xmlns:a16="http://schemas.microsoft.com/office/drawing/2014/main" id="{7DA6B2F1-E1DE-49AD-9FE6-FFEB4CE2C707}"/>
            </a:ext>
          </a:extLst>
        </xdr:cNvPr>
        <xdr:cNvGrpSpPr/>
      </xdr:nvGrpSpPr>
      <xdr:grpSpPr>
        <a:xfrm>
          <a:off x="3154680" y="784860"/>
          <a:ext cx="1314000" cy="446400"/>
          <a:chOff x="3634740" y="1325880"/>
          <a:chExt cx="1314000" cy="446400"/>
        </a:xfrm>
      </xdr:grpSpPr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725EDD47-A961-45B1-8E87-6B65BCB6812F}"/>
              </a:ext>
            </a:extLst>
          </xdr:cNvPr>
          <xdr:cNvSpPr/>
        </xdr:nvSpPr>
        <xdr:spPr>
          <a:xfrm>
            <a:off x="3634740" y="1325880"/>
            <a:ext cx="1314000" cy="4464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zh-CN" altLang="en-US" sz="1600" b="1">
                <a:solidFill>
                  <a:schemeClr val="accent5"/>
                </a:solidFill>
                <a:latin typeface="微软雅黑" panose="020B0503020204020204" pitchFamily="34" charset="-122"/>
                <a:ea typeface="微软雅黑" panose="020B0503020204020204" pitchFamily="34" charset="-122"/>
              </a:rPr>
              <a:t>库存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252CB45D-E482-4100-B8E7-6EA6F3F0551A}"/>
              </a:ext>
            </a:extLst>
          </xdr:cNvPr>
          <xdr:cNvSpPr/>
        </xdr:nvSpPr>
        <xdr:spPr>
          <a:xfrm>
            <a:off x="3634740" y="1325880"/>
            <a:ext cx="1314000" cy="53340"/>
          </a:xfrm>
          <a:prstGeom prst="rect">
            <a:avLst/>
          </a:prstGeom>
          <a:ln>
            <a:noFill/>
          </a:ln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endParaRPr>
          </a:p>
        </xdr:txBody>
      </xdr:sp>
    </xdr:grpSp>
    <xdr:clientData/>
  </xdr:twoCellAnchor>
  <xdr:twoCellAnchor>
    <xdr:from>
      <xdr:col>0</xdr:col>
      <xdr:colOff>601980</xdr:colOff>
      <xdr:row>2</xdr:row>
      <xdr:rowOff>91440</xdr:rowOff>
    </xdr:from>
    <xdr:to>
      <xdr:col>3</xdr:col>
      <xdr:colOff>49080</xdr:colOff>
      <xdr:row>4</xdr:row>
      <xdr:rowOff>172080</xdr:rowOff>
    </xdr:to>
    <xdr:sp macro="" textlink="">
      <xdr:nvSpPr>
        <xdr:cNvPr id="2" name="矩形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E7BFD-B46F-4019-B9E2-BF840B7DB982}"/>
            </a:ext>
          </a:extLst>
        </xdr:cNvPr>
        <xdr:cNvSpPr/>
      </xdr:nvSpPr>
      <xdr:spPr>
        <a:xfrm>
          <a:off x="601980" y="77724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销售数据</a:t>
          </a:r>
        </a:p>
      </xdr:txBody>
    </xdr:sp>
    <xdr:clientData/>
  </xdr:twoCellAnchor>
  <xdr:twoCellAnchor>
    <xdr:from>
      <xdr:col>3</xdr:col>
      <xdr:colOff>182880</xdr:colOff>
      <xdr:row>2</xdr:row>
      <xdr:rowOff>91440</xdr:rowOff>
    </xdr:from>
    <xdr:to>
      <xdr:col>5</xdr:col>
      <xdr:colOff>277680</xdr:colOff>
      <xdr:row>4</xdr:row>
      <xdr:rowOff>172080</xdr:rowOff>
    </xdr:to>
    <xdr:sp macro="" textlink="">
      <xdr:nvSpPr>
        <xdr:cNvPr id="3" name="矩形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26E820C2-378F-4D9D-A9A7-9F085B19A2F7}"/>
            </a:ext>
          </a:extLst>
        </xdr:cNvPr>
        <xdr:cNvSpPr/>
      </xdr:nvSpPr>
      <xdr:spPr>
        <a:xfrm>
          <a:off x="2049780" y="777240"/>
          <a:ext cx="1314000" cy="446400"/>
        </a:xfrm>
        <a:prstGeom prst="rect">
          <a:avLst/>
        </a:prstGeom>
        <a:ln>
          <a:noFill/>
        </a:ln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600" b="1">
              <a:latin typeface="微软雅黑" panose="020B0503020204020204" pitchFamily="34" charset="-122"/>
              <a:ea typeface="微软雅黑" panose="020B0503020204020204" pitchFamily="34" charset="-122"/>
            </a:rPr>
            <a:t>销售报表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2A002D-E7F5-4534-A3A1-016EFD2D0061}" name="表1" displayName="表1" ref="B8:I15" totalsRowShown="0">
  <autoFilter ref="B8:I15" xr:uid="{85E4BCC5-2B28-44EC-9AE8-4E1D2C715179}"/>
  <tableColumns count="8">
    <tableColumn id="1" xr3:uid="{8F227B5C-CDEF-4AEE-A65A-4BFE18F7CAD2}" name="日期" dataDxfId="11"/>
    <tableColumn id="2" xr3:uid="{E9A0CF33-29AC-4AA3-8EF5-52A21D338D3F}" name="交易号"/>
    <tableColumn id="3" xr3:uid="{AC4DD014-7409-4258-A03B-20969EEE483C}" name="产品编号" dataDxfId="10"/>
    <tableColumn id="4" xr3:uid="{0775BC57-B068-44F4-859D-AC9C0D552EC5}" name="产品"/>
    <tableColumn id="5" xr3:uid="{EE9C0592-6372-4015-9E31-90D194A4F36C}" name="销售额" dataDxfId="9"/>
    <tableColumn id="6" xr3:uid="{EDAA55D1-94F6-4E0F-8174-08F60CA4F462}" name="税率" dataDxfId="8"/>
    <tableColumn id="7" xr3:uid="{6A2EF38E-7777-4990-AEA8-CD66E0234B84}" name="营业税" dataDxfId="7">
      <calculatedColumnFormula>F9*G9</calculatedColumnFormula>
    </tableColumn>
    <tableColumn id="8" xr3:uid="{7B54F1E1-7766-4A04-B26D-21C9E62E78DA}" name="总计" dataDxfId="6">
      <calculatedColumnFormula>F9+H9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8CBB7C-797E-4152-A1CF-D84AF9E06FD4}" name="表2" displayName="表2" ref="B8:C23" totalsRowShown="0">
  <autoFilter ref="B8:C23" xr:uid="{7223361C-1EEC-4EF0-841D-B42D86C3CE09}"/>
  <tableColumns count="2">
    <tableColumn id="1" xr3:uid="{67D4848D-C029-43EF-9E16-545E6A0EE160}" name="产品编号"/>
    <tableColumn id="2" xr3:uid="{2C3DA6FC-97C7-4190-91BF-73E97A053D97}" name="产品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24C074-C17D-49FA-8ACB-A49963F6C89C}" name="表1_4" displayName="表1_4" ref="B8:I15" totalsRowShown="0">
  <autoFilter ref="B8:I15" xr:uid="{DACDFE55-97FB-498C-815C-DA86DBEAB86E}"/>
  <tableColumns count="8">
    <tableColumn id="1" xr3:uid="{B672CDFD-B9D2-4B4E-9C6C-4210918A9F87}" name="日期" dataDxfId="5"/>
    <tableColumn id="2" xr3:uid="{9A8B939C-7D48-46A9-8836-5F2C3696E083}" name="交易号"/>
    <tableColumn id="3" xr3:uid="{F244FD77-5593-495B-8C9E-8CEEA46D8F2A}" name="产品编号" dataDxfId="4"/>
    <tableColumn id="4" xr3:uid="{C10FFDC0-2D2A-463B-AADD-281E3AEFDC9E}" name="产品"/>
    <tableColumn id="5" xr3:uid="{C1F75135-4C8D-44C4-A493-E3D561E6AE8E}" name="销售额" dataDxfId="3"/>
    <tableColumn id="6" xr3:uid="{C941F152-19E4-47D9-93AE-DC5C07462A0A}" name="税率" dataDxfId="2"/>
    <tableColumn id="7" xr3:uid="{3D78A705-B847-47DD-88B9-093722FBB3CD}" name="营业税" dataDxfId="1">
      <calculatedColumnFormula>F9*G9</calculatedColumnFormula>
    </tableColumn>
    <tableColumn id="8" xr3:uid="{01BE3332-8A90-4CEC-9010-4B25629F9A73}" name="总计" dataDxfId="0">
      <calculatedColumnFormula>F9+H9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FA50864-11C0-4434-938C-C373D3F20869}" name="表2_5" displayName="表2_5" ref="B8:C23" totalsRowShown="0">
  <autoFilter ref="B8:C23" xr:uid="{BA928A38-1F39-49BF-B7BA-326A3147370B}"/>
  <tableColumns count="2">
    <tableColumn id="1" xr3:uid="{020192E0-BFD6-440B-B236-DC09E26DFA94}" name="产品编号"/>
    <tableColumn id="2" xr3:uid="{AB54B4C0-835F-45B2-AC1D-642AFAFBBEF3}" name="产品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10" Type="http://schemas.openxmlformats.org/officeDocument/2006/relationships/ctrlProp" Target="../ctrlProps/ctrlProp3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4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103A5-227E-4A07-A52F-97C59F0B2AB1}">
  <sheetPr codeName="Sheet1"/>
  <dimension ref="A1:J31"/>
  <sheetViews>
    <sheetView zoomScale="70" zoomScaleNormal="70" workbookViewId="0">
      <selection activeCell="U5" sqref="U5"/>
    </sheetView>
  </sheetViews>
  <sheetFormatPr defaultColWidth="13.109375" defaultRowHeight="23.4" customHeight="1" x14ac:dyDescent="0.25"/>
  <cols>
    <col min="6" max="6" width="23.5546875" customWidth="1"/>
    <col min="13" max="13" width="12.21875" bestFit="1" customWidth="1"/>
    <col min="14" max="14" width="13" bestFit="1" customWidth="1"/>
    <col min="15" max="16" width="12.21875" bestFit="1" customWidth="1"/>
    <col min="17" max="17" width="6.6640625" bestFit="1" customWidth="1"/>
  </cols>
  <sheetData>
    <row r="1" spans="1:10" ht="23.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0" ht="23.4" customHeight="1" x14ac:dyDescent="0.25">
      <c r="A2" s="3" t="s">
        <v>5</v>
      </c>
      <c r="B2" s="3">
        <v>65</v>
      </c>
      <c r="C2" s="3">
        <v>32</v>
      </c>
      <c r="D2" s="3">
        <v>80</v>
      </c>
      <c r="E2" s="3">
        <v>99</v>
      </c>
      <c r="J2" s="3" t="s">
        <v>5</v>
      </c>
    </row>
    <row r="3" spans="1:10" ht="23.4" customHeight="1" x14ac:dyDescent="0.25">
      <c r="A3" s="3" t="s">
        <v>6</v>
      </c>
      <c r="B3" s="3">
        <v>90</v>
      </c>
      <c r="C3" s="3">
        <v>35</v>
      </c>
      <c r="D3" s="3">
        <v>36</v>
      </c>
      <c r="E3" s="3">
        <v>32</v>
      </c>
      <c r="J3" s="3" t="s">
        <v>6</v>
      </c>
    </row>
    <row r="4" spans="1:10" ht="23.4" customHeight="1" x14ac:dyDescent="0.25">
      <c r="A4" s="3" t="s">
        <v>7</v>
      </c>
      <c r="B4" s="3">
        <v>59</v>
      </c>
      <c r="C4" s="3">
        <v>99</v>
      </c>
      <c r="D4" s="3">
        <v>37</v>
      </c>
      <c r="E4" s="3">
        <v>77</v>
      </c>
      <c r="J4" s="3" t="s">
        <v>7</v>
      </c>
    </row>
    <row r="5" spans="1:10" ht="23.4" customHeight="1" x14ac:dyDescent="0.25">
      <c r="A5" s="3" t="s">
        <v>8</v>
      </c>
      <c r="B5" s="3">
        <v>38</v>
      </c>
      <c r="C5" s="3">
        <v>48</v>
      </c>
      <c r="D5" s="3">
        <v>50</v>
      </c>
      <c r="E5" s="3">
        <v>11</v>
      </c>
      <c r="J5" s="3" t="s">
        <v>8</v>
      </c>
    </row>
    <row r="6" spans="1:10" ht="23.4" customHeight="1" x14ac:dyDescent="0.25">
      <c r="A6" s="2"/>
      <c r="B6" s="2"/>
      <c r="C6" s="2"/>
      <c r="D6" s="2"/>
      <c r="E6" s="2"/>
    </row>
    <row r="7" spans="1:10" ht="23.4" customHeight="1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</row>
    <row r="8" spans="1:10" ht="23.4" customHeight="1" x14ac:dyDescent="0.25">
      <c r="A8" s="2">
        <v>3</v>
      </c>
      <c r="B8" s="2">
        <f>INDEX($B$2:$E$5,$A$8,MATCH(B$7,$B$1:$E$1,))</f>
        <v>59</v>
      </c>
      <c r="C8" s="2">
        <f t="shared" ref="C8:E8" si="0">INDEX($B$2:$E$5,$A$8,MATCH(C$7,$B$1:$E$1,))</f>
        <v>99</v>
      </c>
      <c r="D8" s="2">
        <f t="shared" si="0"/>
        <v>37</v>
      </c>
      <c r="E8" s="2">
        <f t="shared" si="0"/>
        <v>77</v>
      </c>
    </row>
    <row r="9" spans="1:10" ht="23.4" customHeight="1" x14ac:dyDescent="0.25">
      <c r="A9" s="2"/>
      <c r="B9" s="2"/>
      <c r="C9" s="2"/>
      <c r="D9" s="2"/>
      <c r="E9" s="2"/>
    </row>
    <row r="10" spans="1:10" ht="23.4" customHeight="1" x14ac:dyDescent="0.25">
      <c r="A10" s="2"/>
      <c r="B10" s="2"/>
      <c r="C10" s="2"/>
      <c r="D10" s="2"/>
      <c r="E10" s="2"/>
    </row>
    <row r="11" spans="1:10" ht="23.4" customHeight="1" x14ac:dyDescent="0.25">
      <c r="A11">
        <v>2</v>
      </c>
      <c r="B11" s="2"/>
      <c r="C11" s="2"/>
      <c r="D11" s="2"/>
      <c r="E11" s="2"/>
    </row>
    <row r="13" spans="1:10" ht="23.4" customHeight="1" x14ac:dyDescent="0.25">
      <c r="A13" s="1" t="s">
        <v>0</v>
      </c>
      <c r="B13" s="3" t="s">
        <v>5</v>
      </c>
      <c r="C13" s="3" t="s">
        <v>6</v>
      </c>
      <c r="D13" s="3" t="s">
        <v>7</v>
      </c>
      <c r="E13" s="3" t="s">
        <v>8</v>
      </c>
    </row>
    <row r="14" spans="1:10" ht="23.4" customHeight="1" x14ac:dyDescent="0.25">
      <c r="A14" s="1" t="s">
        <v>1</v>
      </c>
      <c r="B14" s="3">
        <v>65</v>
      </c>
      <c r="C14" s="3">
        <v>90</v>
      </c>
      <c r="D14" s="3">
        <v>59</v>
      </c>
      <c r="E14" s="3">
        <v>38</v>
      </c>
    </row>
    <row r="15" spans="1:10" ht="23.4" customHeight="1" x14ac:dyDescent="0.25">
      <c r="A15" s="1" t="s">
        <v>2</v>
      </c>
      <c r="B15" s="3">
        <v>32</v>
      </c>
      <c r="C15" s="3">
        <v>35</v>
      </c>
      <c r="D15" s="3">
        <v>99</v>
      </c>
      <c r="E15" s="3">
        <v>48</v>
      </c>
    </row>
    <row r="16" spans="1:10" ht="23.4" customHeight="1" x14ac:dyDescent="0.25">
      <c r="A16" s="1" t="s">
        <v>3</v>
      </c>
      <c r="B16" s="3">
        <v>80</v>
      </c>
      <c r="C16" s="3">
        <v>36</v>
      </c>
      <c r="D16" s="3">
        <v>37</v>
      </c>
      <c r="E16" s="3">
        <v>50</v>
      </c>
    </row>
    <row r="17" spans="1:5" ht="23.4" customHeight="1" x14ac:dyDescent="0.25">
      <c r="A17" s="1" t="s">
        <v>4</v>
      </c>
      <c r="B17" s="3">
        <v>99</v>
      </c>
      <c r="C17" s="3">
        <v>32</v>
      </c>
      <c r="D17" s="3">
        <v>77</v>
      </c>
      <c r="E17" s="3">
        <v>11</v>
      </c>
    </row>
    <row r="20" spans="1:5" ht="23.4" customHeight="1" x14ac:dyDescent="0.25">
      <c r="A20" s="1" t="s">
        <v>0</v>
      </c>
      <c r="B20" s="2" t="str">
        <f ca="1">OFFSET(A13,,$A$11)</f>
        <v>第二季度</v>
      </c>
    </row>
    <row r="21" spans="1:5" ht="23.4" customHeight="1" x14ac:dyDescent="0.25">
      <c r="A21" s="1" t="s">
        <v>1</v>
      </c>
      <c r="B21" s="2">
        <f t="shared" ref="B21:B24" ca="1" si="1">OFFSET(A14,,$A$11)</f>
        <v>90</v>
      </c>
    </row>
    <row r="22" spans="1:5" ht="23.4" customHeight="1" x14ac:dyDescent="0.25">
      <c r="A22" s="1" t="s">
        <v>2</v>
      </c>
      <c r="B22" s="2">
        <f t="shared" ca="1" si="1"/>
        <v>35</v>
      </c>
    </row>
    <row r="23" spans="1:5" ht="23.4" customHeight="1" x14ac:dyDescent="0.25">
      <c r="A23" s="1" t="s">
        <v>3</v>
      </c>
      <c r="B23" s="2">
        <f t="shared" ca="1" si="1"/>
        <v>36</v>
      </c>
    </row>
    <row r="24" spans="1:5" ht="23.4" customHeight="1" x14ac:dyDescent="0.25">
      <c r="A24" s="1" t="s">
        <v>4</v>
      </c>
      <c r="B24" s="2">
        <f t="shared" ca="1" si="1"/>
        <v>32</v>
      </c>
    </row>
    <row r="27" spans="1:5" ht="23.4" customHeight="1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5" ht="23.4" customHeight="1" x14ac:dyDescent="0.25">
      <c r="A28" s="3" t="s">
        <v>58</v>
      </c>
      <c r="B28">
        <f>VLOOKUP($A28,$A$1:$E$5,COLUMN(),0)</f>
        <v>90</v>
      </c>
      <c r="C28">
        <f t="shared" ref="C28:E29" si="2">VLOOKUP($A28,$A$1:$E$5,COLUMN(),0)</f>
        <v>35</v>
      </c>
      <c r="D28">
        <f t="shared" si="2"/>
        <v>36</v>
      </c>
      <c r="E28">
        <f t="shared" si="2"/>
        <v>32</v>
      </c>
    </row>
    <row r="29" spans="1:5" ht="23.4" customHeight="1" x14ac:dyDescent="0.25">
      <c r="A29" s="3" t="s">
        <v>57</v>
      </c>
      <c r="B29">
        <f>VLOOKUP($A29,$A$1:$E$5,COLUMN(),0)</f>
        <v>59</v>
      </c>
      <c r="C29">
        <f t="shared" si="2"/>
        <v>99</v>
      </c>
      <c r="D29">
        <f t="shared" si="2"/>
        <v>37</v>
      </c>
      <c r="E29">
        <f t="shared" si="2"/>
        <v>77</v>
      </c>
    </row>
    <row r="31" spans="1:5" ht="23.4" customHeight="1" x14ac:dyDescent="0.25">
      <c r="A31" t="str">
        <f>A28&amp;"对比"&amp;A29</f>
        <v>第二季度对比第三季度</v>
      </c>
    </row>
  </sheetData>
  <phoneticPr fontId="3" type="noConversion"/>
  <pageMargins left="0.7" right="0.7" top="0.75" bottom="0.75" header="0.3" footer="0.3"/>
  <pageSetup paperSize="9" orientation="portrait" horizontalDpi="180" verticalDpi="180" r:id="rId1"/>
  <drawing r:id="rId2"/>
  <legacyDrawing r:id="rId3"/>
  <controls>
    <mc:AlternateContent xmlns:mc="http://schemas.openxmlformats.org/markup-compatibility/2006">
      <mc:Choice Requires="x14">
        <control shapeId="1031" r:id="rId4" name="ComboBox1">
          <controlPr defaultSize="0" autoLine="0" autoPict="0" linkedCell="A28" listFillRange="季度" r:id="rId5">
            <anchor moveWithCells="1">
              <from>
                <xdr:col>6</xdr:col>
                <xdr:colOff>518160</xdr:colOff>
                <xdr:row>17</xdr:row>
                <xdr:rowOff>251460</xdr:rowOff>
              </from>
              <to>
                <xdr:col>7</xdr:col>
                <xdr:colOff>525780</xdr:colOff>
                <xdr:row>18</xdr:row>
                <xdr:rowOff>182880</xdr:rowOff>
              </to>
            </anchor>
          </controlPr>
        </control>
      </mc:Choice>
      <mc:Fallback>
        <control shapeId="1031" r:id="rId4" name="ComboBox1"/>
      </mc:Fallback>
    </mc:AlternateContent>
    <mc:AlternateContent xmlns:mc="http://schemas.openxmlformats.org/markup-compatibility/2006">
      <mc:Choice Requires="x14">
        <control shapeId="1032" r:id="rId6" name="ComboBox2">
          <controlPr defaultSize="0" autoLine="0" linkedCell="A29" listFillRange="季度" r:id="rId7">
            <anchor moveWithCells="1">
              <from>
                <xdr:col>12</xdr:col>
                <xdr:colOff>441960</xdr:colOff>
                <xdr:row>17</xdr:row>
                <xdr:rowOff>259080</xdr:rowOff>
              </from>
              <to>
                <xdr:col>13</xdr:col>
                <xdr:colOff>457200</xdr:colOff>
                <xdr:row>18</xdr:row>
                <xdr:rowOff>175260</xdr:rowOff>
              </to>
            </anchor>
          </controlPr>
        </control>
      </mc:Choice>
      <mc:Fallback>
        <control shapeId="1032" r:id="rId6" name="ComboBox2"/>
      </mc:Fallback>
    </mc:AlternateContent>
    <mc:AlternateContent xmlns:mc="http://schemas.openxmlformats.org/markup-compatibility/2006">
      <mc:Choice Requires="x14">
        <control shapeId="1025" r:id="rId8" name="Drop Down 1">
          <controlPr defaultSize="0" autoLine="0" autoPict="0">
            <anchor moveWithCells="1">
              <from>
                <xdr:col>5</xdr:col>
                <xdr:colOff>1325880</xdr:colOff>
                <xdr:row>1</xdr:row>
                <xdr:rowOff>91440</xdr:rowOff>
              </from>
              <to>
                <xdr:col>7</xdr:col>
                <xdr:colOff>693420</xdr:colOff>
                <xdr:row>2</xdr:row>
                <xdr:rowOff>167640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6" r:id="rId9" name="Drop Down 2">
          <controlPr defaultSize="0" autoLine="0" autoPict="0">
            <anchor moveWithCells="1">
              <from>
                <xdr:col>5</xdr:col>
                <xdr:colOff>1569720</xdr:colOff>
                <xdr:row>4</xdr:row>
                <xdr:rowOff>114300</xdr:rowOff>
              </from>
              <to>
                <xdr:col>8</xdr:col>
                <xdr:colOff>22860</xdr:colOff>
                <xdr:row>5</xdr:row>
                <xdr:rowOff>121920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1028" r:id="rId10" name="Drop Down 4">
          <controlPr defaultSize="0" autoLine="0" autoPict="0">
            <anchor moveWithCells="1">
              <from>
                <xdr:col>10</xdr:col>
                <xdr:colOff>525780</xdr:colOff>
                <xdr:row>2</xdr:row>
                <xdr:rowOff>175260</xdr:rowOff>
              </from>
              <to>
                <xdr:col>15</xdr:col>
                <xdr:colOff>160020</xdr:colOff>
                <xdr:row>4</xdr:row>
                <xdr:rowOff>160020</xdr:rowOff>
              </to>
            </anchor>
          </controlPr>
        </control>
      </mc:Choice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3CAF-5C3F-4F62-B796-945EA42F9778}">
  <sheetPr codeName="Sheet2"/>
  <dimension ref="A1:M3"/>
  <sheetViews>
    <sheetView workbookViewId="0">
      <selection activeCell="N4" sqref="N4"/>
    </sheetView>
  </sheetViews>
  <sheetFormatPr defaultColWidth="11.6640625" defaultRowHeight="19.2" customHeight="1" x14ac:dyDescent="0.25"/>
  <sheetData>
    <row r="1" spans="1:13" ht="19.2" customHeight="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 ht="19.2" customHeight="1" x14ac:dyDescent="0.25">
      <c r="A2" s="2">
        <v>2018</v>
      </c>
      <c r="B2" s="2">
        <v>56</v>
      </c>
      <c r="C2" s="2">
        <v>51</v>
      </c>
      <c r="D2" s="2">
        <v>14</v>
      </c>
      <c r="E2" s="2">
        <v>63</v>
      </c>
      <c r="F2" s="2">
        <v>21</v>
      </c>
      <c r="G2" s="2">
        <v>84</v>
      </c>
      <c r="H2" s="2">
        <v>73</v>
      </c>
      <c r="I2" s="2">
        <v>94</v>
      </c>
      <c r="J2" s="2">
        <v>45</v>
      </c>
      <c r="K2" s="2">
        <v>62</v>
      </c>
      <c r="L2" s="2">
        <v>34</v>
      </c>
      <c r="M2" s="2">
        <v>23</v>
      </c>
    </row>
    <row r="3" spans="1:13" ht="19.2" customHeight="1" x14ac:dyDescent="0.25">
      <c r="A3" s="2">
        <v>5</v>
      </c>
      <c r="B3" s="2" t="e">
        <f>IF(INDEX($B$2:$M$2,0,$A$3)=B$2,B$2,NA())</f>
        <v>#N/A</v>
      </c>
      <c r="C3" s="2" t="e">
        <f t="shared" ref="C3:M3" si="0">IF(INDEX($B$2:$M$2,0,$A$3)=C$2,C$2,NA())</f>
        <v>#N/A</v>
      </c>
      <c r="D3" s="2" t="e">
        <f t="shared" si="0"/>
        <v>#N/A</v>
      </c>
      <c r="E3" s="2" t="e">
        <f t="shared" si="0"/>
        <v>#N/A</v>
      </c>
      <c r="F3" s="2">
        <f t="shared" si="0"/>
        <v>21</v>
      </c>
      <c r="G3" s="2" t="e">
        <f t="shared" si="0"/>
        <v>#N/A</v>
      </c>
      <c r="H3" s="2" t="e">
        <f t="shared" si="0"/>
        <v>#N/A</v>
      </c>
      <c r="I3" s="2" t="e">
        <f t="shared" si="0"/>
        <v>#N/A</v>
      </c>
      <c r="J3" s="2" t="e">
        <f t="shared" si="0"/>
        <v>#N/A</v>
      </c>
      <c r="K3" s="2" t="e">
        <f t="shared" si="0"/>
        <v>#N/A</v>
      </c>
      <c r="L3" s="2" t="e">
        <f t="shared" si="0"/>
        <v>#N/A</v>
      </c>
      <c r="M3" s="2" t="e">
        <f t="shared" si="0"/>
        <v>#N/A</v>
      </c>
    </row>
  </sheetData>
  <phoneticPr fontId="3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3" name="Scroll Bar 3">
              <controlPr defaultSize="0" autoPict="0">
                <anchor moveWithCells="1">
                  <from>
                    <xdr:col>0</xdr:col>
                    <xdr:colOff>792480</xdr:colOff>
                    <xdr:row>11</xdr:row>
                    <xdr:rowOff>22860</xdr:rowOff>
                  </from>
                  <to>
                    <xdr:col>13</xdr:col>
                    <xdr:colOff>0</xdr:colOff>
                    <xdr:row>12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1B733-F3E5-4ED1-808F-78F6ED78792C}">
  <sheetPr codeName="Sheet3"/>
  <dimension ref="A1:S15"/>
  <sheetViews>
    <sheetView showGridLines="0" workbookViewId="0"/>
  </sheetViews>
  <sheetFormatPr defaultRowHeight="14.4" x14ac:dyDescent="0.25"/>
  <cols>
    <col min="1" max="1" width="6.77734375" customWidth="1"/>
    <col min="5" max="5" width="12.33203125" customWidth="1"/>
    <col min="6" max="6" width="12" customWidth="1"/>
    <col min="7" max="7" width="7.44140625" customWidth="1"/>
    <col min="8" max="8" width="12" customWidth="1"/>
    <col min="9" max="9" width="14.7773437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50.4" x14ac:dyDescent="0.25">
      <c r="A2" s="4"/>
      <c r="B2" s="5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</row>
    <row r="9" spans="1:19" x14ac:dyDescent="0.25">
      <c r="B9" s="6">
        <v>43102</v>
      </c>
      <c r="C9">
        <v>20180102</v>
      </c>
      <c r="D9" s="7" t="s">
        <v>31</v>
      </c>
      <c r="E9" t="s">
        <v>38</v>
      </c>
      <c r="F9" s="9">
        <v>2999</v>
      </c>
      <c r="G9" s="8">
        <v>0.05</v>
      </c>
      <c r="H9" s="9">
        <f t="shared" ref="H9:H15" si="0">F9*G9</f>
        <v>149.95000000000002</v>
      </c>
      <c r="I9" s="9">
        <f t="shared" ref="I9:I15" si="1">F9+H9</f>
        <v>3148.95</v>
      </c>
    </row>
    <row r="10" spans="1:19" x14ac:dyDescent="0.25">
      <c r="B10" s="6">
        <v>43102</v>
      </c>
      <c r="C10">
        <v>20180102</v>
      </c>
      <c r="D10" s="7" t="s">
        <v>32</v>
      </c>
      <c r="E10" t="s">
        <v>39</v>
      </c>
      <c r="F10" s="9">
        <v>7899</v>
      </c>
      <c r="G10" s="8">
        <v>0.05</v>
      </c>
      <c r="H10" s="9">
        <f t="shared" si="0"/>
        <v>394.95000000000005</v>
      </c>
      <c r="I10" s="9">
        <f t="shared" si="1"/>
        <v>8293.9500000000007</v>
      </c>
    </row>
    <row r="11" spans="1:19" x14ac:dyDescent="0.25">
      <c r="B11" s="6">
        <v>43102</v>
      </c>
      <c r="C11">
        <v>20180102</v>
      </c>
      <c r="D11" s="7" t="s">
        <v>33</v>
      </c>
      <c r="E11" t="s">
        <v>40</v>
      </c>
      <c r="F11" s="9">
        <v>36</v>
      </c>
      <c r="G11" s="8">
        <v>0.05</v>
      </c>
      <c r="H11" s="9">
        <f t="shared" si="0"/>
        <v>1.8</v>
      </c>
      <c r="I11" s="9">
        <f t="shared" si="1"/>
        <v>37.799999999999997</v>
      </c>
    </row>
    <row r="12" spans="1:19" x14ac:dyDescent="0.25">
      <c r="B12" s="6">
        <v>43102</v>
      </c>
      <c r="C12">
        <v>20180102</v>
      </c>
      <c r="D12" s="7" t="s">
        <v>34</v>
      </c>
      <c r="E12" t="s">
        <v>41</v>
      </c>
      <c r="F12" s="9">
        <v>158</v>
      </c>
      <c r="G12" s="8">
        <v>0.05</v>
      </c>
      <c r="H12" s="9">
        <f t="shared" si="0"/>
        <v>7.9</v>
      </c>
      <c r="I12" s="9">
        <f t="shared" si="1"/>
        <v>165.9</v>
      </c>
    </row>
    <row r="13" spans="1:19" x14ac:dyDescent="0.25">
      <c r="B13" s="6">
        <v>43102</v>
      </c>
      <c r="C13">
        <v>20180102</v>
      </c>
      <c r="D13" s="7" t="s">
        <v>35</v>
      </c>
      <c r="E13" t="s">
        <v>42</v>
      </c>
      <c r="F13" s="9">
        <v>246</v>
      </c>
      <c r="G13" s="8">
        <v>0.05</v>
      </c>
      <c r="H13" s="9">
        <f t="shared" si="0"/>
        <v>12.3</v>
      </c>
      <c r="I13" s="9">
        <f t="shared" si="1"/>
        <v>258.3</v>
      </c>
    </row>
    <row r="14" spans="1:19" x14ac:dyDescent="0.25">
      <c r="B14" s="6">
        <v>43102</v>
      </c>
      <c r="C14">
        <v>20180102</v>
      </c>
      <c r="D14" s="7" t="s">
        <v>36</v>
      </c>
      <c r="E14" t="s">
        <v>43</v>
      </c>
      <c r="F14" s="9">
        <v>32</v>
      </c>
      <c r="G14" s="8">
        <v>0.05</v>
      </c>
      <c r="H14" s="9">
        <f t="shared" si="0"/>
        <v>1.6</v>
      </c>
      <c r="I14" s="9">
        <f t="shared" si="1"/>
        <v>33.6</v>
      </c>
    </row>
    <row r="15" spans="1:19" x14ac:dyDescent="0.25">
      <c r="B15" s="6">
        <v>43102</v>
      </c>
      <c r="C15">
        <v>20180102</v>
      </c>
      <c r="D15" s="7" t="s">
        <v>37</v>
      </c>
      <c r="E15" t="s">
        <v>44</v>
      </c>
      <c r="F15" s="9">
        <v>28</v>
      </c>
      <c r="G15" s="8">
        <v>0.05</v>
      </c>
      <c r="H15" s="9">
        <f t="shared" si="0"/>
        <v>1.4000000000000001</v>
      </c>
      <c r="I15" s="9">
        <f t="shared" si="1"/>
        <v>29.4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9407D-CF3C-4BFE-9CA6-D56049448499}">
  <sheetPr codeName="Sheet4"/>
  <dimension ref="A1:S15"/>
  <sheetViews>
    <sheetView showGridLines="0" workbookViewId="0"/>
  </sheetViews>
  <sheetFormatPr defaultRowHeight="14.4" x14ac:dyDescent="0.25"/>
  <cols>
    <col min="2" max="2" width="11.33203125" customWidth="1"/>
    <col min="3" max="3" width="11.109375" customWidth="1"/>
    <col min="4" max="4" width="11.88671875" customWidth="1"/>
    <col min="6" max="6" width="11.109375" customWidth="1"/>
    <col min="7" max="7" width="13.2187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50.4" x14ac:dyDescent="0.25">
      <c r="A2" s="4"/>
      <c r="B2" s="5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s="10" t="s">
        <v>25</v>
      </c>
      <c r="C8" s="10" t="s">
        <v>26</v>
      </c>
      <c r="D8" s="10" t="s">
        <v>27</v>
      </c>
      <c r="E8" s="10" t="s">
        <v>28</v>
      </c>
      <c r="F8" s="10" t="s">
        <v>29</v>
      </c>
      <c r="G8" s="11" t="s">
        <v>30</v>
      </c>
    </row>
    <row r="9" spans="1:19" x14ac:dyDescent="0.25">
      <c r="B9" s="13" t="s">
        <v>31</v>
      </c>
      <c r="C9" s="12" t="s">
        <v>38</v>
      </c>
      <c r="D9" s="14">
        <v>2999</v>
      </c>
      <c r="E9" s="15">
        <v>0.05</v>
      </c>
      <c r="F9" s="14">
        <f t="shared" ref="F9:F15" si="0">D9*E9</f>
        <v>149.95000000000002</v>
      </c>
      <c r="G9" s="16">
        <f t="shared" ref="G9:G15" si="1">D9+F9</f>
        <v>3148.95</v>
      </c>
    </row>
    <row r="10" spans="1:19" x14ac:dyDescent="0.25">
      <c r="B10" s="18" t="s">
        <v>32</v>
      </c>
      <c r="C10" s="17" t="s">
        <v>39</v>
      </c>
      <c r="D10" s="19">
        <v>7899</v>
      </c>
      <c r="E10" s="20">
        <v>0.05</v>
      </c>
      <c r="F10" s="19">
        <f t="shared" si="0"/>
        <v>394.95000000000005</v>
      </c>
      <c r="G10" s="21">
        <f t="shared" si="1"/>
        <v>8293.9500000000007</v>
      </c>
    </row>
    <row r="11" spans="1:19" x14ac:dyDescent="0.25">
      <c r="B11" s="13" t="s">
        <v>33</v>
      </c>
      <c r="C11" s="12" t="s">
        <v>40</v>
      </c>
      <c r="D11" s="14">
        <v>36</v>
      </c>
      <c r="E11" s="15">
        <v>0.05</v>
      </c>
      <c r="F11" s="14">
        <f t="shared" si="0"/>
        <v>1.8</v>
      </c>
      <c r="G11" s="16">
        <f t="shared" si="1"/>
        <v>37.799999999999997</v>
      </c>
    </row>
    <row r="12" spans="1:19" x14ac:dyDescent="0.25">
      <c r="B12" s="18" t="s">
        <v>34</v>
      </c>
      <c r="C12" s="17" t="s">
        <v>41</v>
      </c>
      <c r="D12" s="19">
        <v>158</v>
      </c>
      <c r="E12" s="20">
        <v>0.05</v>
      </c>
      <c r="F12" s="19">
        <f t="shared" si="0"/>
        <v>7.9</v>
      </c>
      <c r="G12" s="21">
        <f t="shared" si="1"/>
        <v>165.9</v>
      </c>
    </row>
    <row r="13" spans="1:19" x14ac:dyDescent="0.25">
      <c r="B13" s="13" t="s">
        <v>35</v>
      </c>
      <c r="C13" s="12" t="s">
        <v>42</v>
      </c>
      <c r="D13" s="14">
        <v>246</v>
      </c>
      <c r="E13" s="15">
        <v>0.05</v>
      </c>
      <c r="F13" s="14">
        <f t="shared" si="0"/>
        <v>12.3</v>
      </c>
      <c r="G13" s="16">
        <f t="shared" si="1"/>
        <v>258.3</v>
      </c>
    </row>
    <row r="14" spans="1:19" x14ac:dyDescent="0.25">
      <c r="B14" s="18" t="s">
        <v>36</v>
      </c>
      <c r="C14" s="17" t="s">
        <v>43</v>
      </c>
      <c r="D14" s="19">
        <v>32</v>
      </c>
      <c r="E14" s="20">
        <v>0.05</v>
      </c>
      <c r="F14" s="19">
        <f t="shared" si="0"/>
        <v>1.6</v>
      </c>
      <c r="G14" s="21">
        <f t="shared" si="1"/>
        <v>33.6</v>
      </c>
    </row>
    <row r="15" spans="1:19" x14ac:dyDescent="0.25">
      <c r="B15" s="13" t="s">
        <v>37</v>
      </c>
      <c r="C15" s="12" t="s">
        <v>44</v>
      </c>
      <c r="D15" s="14">
        <v>28</v>
      </c>
      <c r="E15" s="15">
        <v>0.05</v>
      </c>
      <c r="F15" s="14">
        <f t="shared" si="0"/>
        <v>1.4000000000000001</v>
      </c>
      <c r="G15" s="16">
        <f t="shared" si="1"/>
        <v>29.4</v>
      </c>
    </row>
  </sheetData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50C6-D0CE-4D1A-9545-C1B9031D22C1}">
  <sheetPr codeName="Sheet5"/>
  <dimension ref="A1:S23"/>
  <sheetViews>
    <sheetView showGridLines="0" tabSelected="1" zoomScaleNormal="100" workbookViewId="0">
      <selection activeCell="I17" sqref="I17"/>
    </sheetView>
  </sheetViews>
  <sheetFormatPr defaultRowHeight="14.4" x14ac:dyDescent="0.25"/>
  <cols>
    <col min="2" max="2" width="11.33203125" customWidth="1"/>
    <col min="3" max="3" width="9.5546875" bestFit="1" customWidth="1"/>
    <col min="4" max="4" width="11.33203125" customWidth="1"/>
    <col min="5" max="5" width="12.44140625" customWidth="1"/>
    <col min="6" max="6" width="11.6640625" customWidth="1"/>
    <col min="8" max="8" width="12.5546875" customWidth="1"/>
    <col min="9" max="9" width="11.6640625" bestFit="1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50.4" x14ac:dyDescent="0.25">
      <c r="A2" s="4"/>
      <c r="B2" s="5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t="s">
        <v>25</v>
      </c>
      <c r="C8" t="s">
        <v>26</v>
      </c>
    </row>
    <row r="9" spans="1:19" x14ac:dyDescent="0.25">
      <c r="B9">
        <v>90001</v>
      </c>
      <c r="C9" t="s">
        <v>45</v>
      </c>
    </row>
    <row r="10" spans="1:19" x14ac:dyDescent="0.25">
      <c r="B10">
        <v>90002</v>
      </c>
      <c r="C10" t="s">
        <v>46</v>
      </c>
    </row>
    <row r="11" spans="1:19" x14ac:dyDescent="0.25">
      <c r="B11">
        <v>90003</v>
      </c>
      <c r="C11" t="s">
        <v>40</v>
      </c>
    </row>
    <row r="12" spans="1:19" x14ac:dyDescent="0.25">
      <c r="B12">
        <v>90004</v>
      </c>
      <c r="C12" t="s">
        <v>47</v>
      </c>
    </row>
    <row r="13" spans="1:19" x14ac:dyDescent="0.25">
      <c r="B13">
        <v>90005</v>
      </c>
      <c r="C13" t="s">
        <v>38</v>
      </c>
    </row>
    <row r="14" spans="1:19" x14ac:dyDescent="0.25">
      <c r="B14">
        <v>90006</v>
      </c>
      <c r="C14" t="s">
        <v>48</v>
      </c>
    </row>
    <row r="15" spans="1:19" x14ac:dyDescent="0.25">
      <c r="B15">
        <v>90007</v>
      </c>
      <c r="C15" t="s">
        <v>49</v>
      </c>
    </row>
    <row r="16" spans="1:19" x14ac:dyDescent="0.25">
      <c r="B16">
        <v>90008</v>
      </c>
      <c r="C16" t="s">
        <v>50</v>
      </c>
    </row>
    <row r="17" spans="2:3" x14ac:dyDescent="0.25">
      <c r="B17">
        <v>90009</v>
      </c>
      <c r="C17" t="s">
        <v>51</v>
      </c>
    </row>
    <row r="18" spans="2:3" x14ac:dyDescent="0.25">
      <c r="B18">
        <v>90010</v>
      </c>
      <c r="C18" t="s">
        <v>52</v>
      </c>
    </row>
    <row r="19" spans="2:3" x14ac:dyDescent="0.25">
      <c r="B19">
        <v>90011</v>
      </c>
      <c r="C19" t="s">
        <v>53</v>
      </c>
    </row>
    <row r="20" spans="2:3" x14ac:dyDescent="0.25">
      <c r="B20">
        <v>90012</v>
      </c>
      <c r="C20" t="s">
        <v>54</v>
      </c>
    </row>
    <row r="21" spans="2:3" x14ac:dyDescent="0.25">
      <c r="B21">
        <v>90013</v>
      </c>
      <c r="C21" t="s">
        <v>45</v>
      </c>
    </row>
    <row r="22" spans="2:3" x14ac:dyDescent="0.25">
      <c r="B22">
        <v>90014</v>
      </c>
      <c r="C22" t="s">
        <v>55</v>
      </c>
    </row>
    <row r="23" spans="2:3" x14ac:dyDescent="0.25">
      <c r="B23">
        <v>90015</v>
      </c>
      <c r="C23" t="s">
        <v>56</v>
      </c>
    </row>
  </sheetData>
  <phoneticPr fontId="3" type="noConversion"/>
  <pageMargins left="0.7" right="0.7" top="0.75" bottom="0.75" header="0.3" footer="0.3"/>
  <pageSetup paperSize="9" orientation="portrait" horizontalDpi="180" verticalDpi="18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632D4-AAAD-482E-AC5E-A23E020D1607}">
  <sheetPr codeName="Sheet6"/>
  <dimension ref="A1:S15"/>
  <sheetViews>
    <sheetView showGridLines="0" workbookViewId="0"/>
  </sheetViews>
  <sheetFormatPr defaultRowHeight="14.4" x14ac:dyDescent="0.25"/>
  <cols>
    <col min="1" max="1" width="3.77734375" customWidth="1"/>
    <col min="3" max="3" width="12.77734375" customWidth="1"/>
    <col min="5" max="5" width="11" customWidth="1"/>
    <col min="6" max="6" width="13.21875" customWidth="1"/>
    <col min="9" max="9" width="15.2187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6" x14ac:dyDescent="0.25">
      <c r="A2" s="4"/>
      <c r="B2" s="22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t="s">
        <v>23</v>
      </c>
      <c r="C8" t="s">
        <v>24</v>
      </c>
      <c r="D8" t="s">
        <v>25</v>
      </c>
      <c r="E8" t="s">
        <v>26</v>
      </c>
      <c r="F8" t="s">
        <v>27</v>
      </c>
      <c r="G8" t="s">
        <v>28</v>
      </c>
      <c r="H8" t="s">
        <v>29</v>
      </c>
      <c r="I8" t="s">
        <v>30</v>
      </c>
    </row>
    <row r="9" spans="1:19" x14ac:dyDescent="0.25">
      <c r="B9" s="6">
        <v>43102</v>
      </c>
      <c r="C9">
        <v>20180102</v>
      </c>
      <c r="D9" s="7" t="s">
        <v>31</v>
      </c>
      <c r="E9" t="s">
        <v>38</v>
      </c>
      <c r="F9" s="9">
        <v>2999</v>
      </c>
      <c r="G9" s="8">
        <v>0.05</v>
      </c>
      <c r="H9" s="9">
        <f t="shared" ref="H9:H15" si="0">F9*G9</f>
        <v>149.95000000000002</v>
      </c>
      <c r="I9" s="9">
        <f t="shared" ref="I9:I15" si="1">F9+H9</f>
        <v>3148.95</v>
      </c>
    </row>
    <row r="10" spans="1:19" x14ac:dyDescent="0.25">
      <c r="B10" s="6">
        <v>43102</v>
      </c>
      <c r="C10">
        <v>20180102</v>
      </c>
      <c r="D10" s="7" t="s">
        <v>32</v>
      </c>
      <c r="E10" t="s">
        <v>39</v>
      </c>
      <c r="F10" s="9">
        <v>7899</v>
      </c>
      <c r="G10" s="8">
        <v>0.05</v>
      </c>
      <c r="H10" s="9">
        <f t="shared" si="0"/>
        <v>394.95000000000005</v>
      </c>
      <c r="I10" s="9">
        <f t="shared" si="1"/>
        <v>8293.9500000000007</v>
      </c>
    </row>
    <row r="11" spans="1:19" x14ac:dyDescent="0.25">
      <c r="B11" s="6">
        <v>43102</v>
      </c>
      <c r="C11">
        <v>20180102</v>
      </c>
      <c r="D11" s="7" t="s">
        <v>33</v>
      </c>
      <c r="E11" t="s">
        <v>40</v>
      </c>
      <c r="F11" s="9">
        <v>36</v>
      </c>
      <c r="G11" s="8">
        <v>0.05</v>
      </c>
      <c r="H11" s="9">
        <f t="shared" si="0"/>
        <v>1.8</v>
      </c>
      <c r="I11" s="9">
        <f t="shared" si="1"/>
        <v>37.799999999999997</v>
      </c>
    </row>
    <row r="12" spans="1:19" x14ac:dyDescent="0.25">
      <c r="B12" s="6">
        <v>43102</v>
      </c>
      <c r="C12">
        <v>20180102</v>
      </c>
      <c r="D12" s="7" t="s">
        <v>34</v>
      </c>
      <c r="E12" t="s">
        <v>41</v>
      </c>
      <c r="F12" s="9">
        <v>158</v>
      </c>
      <c r="G12" s="8">
        <v>0.05</v>
      </c>
      <c r="H12" s="9">
        <f t="shared" si="0"/>
        <v>7.9</v>
      </c>
      <c r="I12" s="9">
        <f t="shared" si="1"/>
        <v>165.9</v>
      </c>
    </row>
    <row r="13" spans="1:19" x14ac:dyDescent="0.25">
      <c r="B13" s="6">
        <v>43102</v>
      </c>
      <c r="C13">
        <v>20180102</v>
      </c>
      <c r="D13" s="7" t="s">
        <v>35</v>
      </c>
      <c r="E13" t="s">
        <v>42</v>
      </c>
      <c r="F13" s="9">
        <v>246</v>
      </c>
      <c r="G13" s="8">
        <v>0.05</v>
      </c>
      <c r="H13" s="9">
        <f t="shared" si="0"/>
        <v>12.3</v>
      </c>
      <c r="I13" s="9">
        <f t="shared" si="1"/>
        <v>258.3</v>
      </c>
    </row>
    <row r="14" spans="1:19" x14ac:dyDescent="0.25">
      <c r="B14" s="6">
        <v>43102</v>
      </c>
      <c r="C14">
        <v>20180102</v>
      </c>
      <c r="D14" s="7" t="s">
        <v>36</v>
      </c>
      <c r="E14" t="s">
        <v>43</v>
      </c>
      <c r="F14" s="9">
        <v>32</v>
      </c>
      <c r="G14" s="8">
        <v>0.05</v>
      </c>
      <c r="H14" s="9">
        <f t="shared" si="0"/>
        <v>1.6</v>
      </c>
      <c r="I14" s="9">
        <f t="shared" si="1"/>
        <v>33.6</v>
      </c>
    </row>
    <row r="15" spans="1:19" x14ac:dyDescent="0.25">
      <c r="B15" s="6">
        <v>43102</v>
      </c>
      <c r="C15">
        <v>20180102</v>
      </c>
      <c r="D15" s="7" t="s">
        <v>37</v>
      </c>
      <c r="E15" t="s">
        <v>44</v>
      </c>
      <c r="F15" s="9">
        <v>28</v>
      </c>
      <c r="G15" s="8">
        <v>0.05</v>
      </c>
      <c r="H15" s="9">
        <f t="shared" si="0"/>
        <v>1.4000000000000001</v>
      </c>
      <c r="I15" s="9">
        <f t="shared" si="1"/>
        <v>29.4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2CE2-200F-4E4D-8B00-47590389AED2}">
  <sheetPr codeName="Sheet7"/>
  <dimension ref="A1:S15"/>
  <sheetViews>
    <sheetView showGridLines="0" workbookViewId="0"/>
  </sheetViews>
  <sheetFormatPr defaultRowHeight="14.4" x14ac:dyDescent="0.25"/>
  <cols>
    <col min="1" max="1" width="3.77734375" customWidth="1"/>
    <col min="2" max="2" width="10.6640625" customWidth="1"/>
    <col min="3" max="3" width="12" customWidth="1"/>
    <col min="4" max="4" width="14.109375" customWidth="1"/>
    <col min="7" max="7" width="15.7773437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6" x14ac:dyDescent="0.25">
      <c r="A2" s="4"/>
      <c r="B2" s="22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s="10" t="s">
        <v>25</v>
      </c>
      <c r="C8" s="10" t="s">
        <v>26</v>
      </c>
      <c r="D8" s="10" t="s">
        <v>27</v>
      </c>
      <c r="E8" s="10" t="s">
        <v>28</v>
      </c>
      <c r="F8" s="10" t="s">
        <v>29</v>
      </c>
      <c r="G8" s="11" t="s">
        <v>30</v>
      </c>
    </row>
    <row r="9" spans="1:19" x14ac:dyDescent="0.25">
      <c r="B9" s="13" t="s">
        <v>31</v>
      </c>
      <c r="C9" s="12" t="s">
        <v>38</v>
      </c>
      <c r="D9" s="14">
        <v>2999</v>
      </c>
      <c r="E9" s="15">
        <v>0.05</v>
      </c>
      <c r="F9" s="14">
        <f t="shared" ref="F9:F15" si="0">D9*E9</f>
        <v>149.95000000000002</v>
      </c>
      <c r="G9" s="16">
        <f t="shared" ref="G9:G15" si="1">D9+F9</f>
        <v>3148.95</v>
      </c>
    </row>
    <row r="10" spans="1:19" x14ac:dyDescent="0.25">
      <c r="B10" s="18" t="s">
        <v>32</v>
      </c>
      <c r="C10" s="17" t="s">
        <v>39</v>
      </c>
      <c r="D10" s="19">
        <v>7899</v>
      </c>
      <c r="E10" s="20">
        <v>0.05</v>
      </c>
      <c r="F10" s="19">
        <f t="shared" si="0"/>
        <v>394.95000000000005</v>
      </c>
      <c r="G10" s="21">
        <f t="shared" si="1"/>
        <v>8293.9500000000007</v>
      </c>
    </row>
    <row r="11" spans="1:19" x14ac:dyDescent="0.25">
      <c r="B11" s="13" t="s">
        <v>33</v>
      </c>
      <c r="C11" s="12" t="s">
        <v>40</v>
      </c>
      <c r="D11" s="14">
        <v>36</v>
      </c>
      <c r="E11" s="15">
        <v>0.05</v>
      </c>
      <c r="F11" s="14">
        <f t="shared" si="0"/>
        <v>1.8</v>
      </c>
      <c r="G11" s="16">
        <f t="shared" si="1"/>
        <v>37.799999999999997</v>
      </c>
    </row>
    <row r="12" spans="1:19" x14ac:dyDescent="0.25">
      <c r="B12" s="18" t="s">
        <v>34</v>
      </c>
      <c r="C12" s="17" t="s">
        <v>41</v>
      </c>
      <c r="D12" s="19">
        <v>158</v>
      </c>
      <c r="E12" s="20">
        <v>0.05</v>
      </c>
      <c r="F12" s="19">
        <f t="shared" si="0"/>
        <v>7.9</v>
      </c>
      <c r="G12" s="21">
        <f t="shared" si="1"/>
        <v>165.9</v>
      </c>
    </row>
    <row r="13" spans="1:19" x14ac:dyDescent="0.25">
      <c r="B13" s="13" t="s">
        <v>35</v>
      </c>
      <c r="C13" s="12" t="s">
        <v>42</v>
      </c>
      <c r="D13" s="14">
        <v>246</v>
      </c>
      <c r="E13" s="15">
        <v>0.05</v>
      </c>
      <c r="F13" s="14">
        <f t="shared" si="0"/>
        <v>12.3</v>
      </c>
      <c r="G13" s="16">
        <f t="shared" si="1"/>
        <v>258.3</v>
      </c>
    </row>
    <row r="14" spans="1:19" x14ac:dyDescent="0.25">
      <c r="B14" s="18" t="s">
        <v>36</v>
      </c>
      <c r="C14" s="17" t="s">
        <v>43</v>
      </c>
      <c r="D14" s="19">
        <v>32</v>
      </c>
      <c r="E14" s="20">
        <v>0.05</v>
      </c>
      <c r="F14" s="19">
        <f t="shared" si="0"/>
        <v>1.6</v>
      </c>
      <c r="G14" s="21">
        <f t="shared" si="1"/>
        <v>33.6</v>
      </c>
    </row>
    <row r="15" spans="1:19" x14ac:dyDescent="0.25">
      <c r="B15" s="13" t="s">
        <v>37</v>
      </c>
      <c r="C15" s="12" t="s">
        <v>44</v>
      </c>
      <c r="D15" s="14">
        <v>28</v>
      </c>
      <c r="E15" s="15">
        <v>0.05</v>
      </c>
      <c r="F15" s="14">
        <f t="shared" si="0"/>
        <v>1.4000000000000001</v>
      </c>
      <c r="G15" s="16">
        <f t="shared" si="1"/>
        <v>29.4</v>
      </c>
    </row>
  </sheetData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420C0-E37B-4315-9754-0A08832D27F4}">
  <sheetPr codeName="Sheet8"/>
  <dimension ref="A1:S23"/>
  <sheetViews>
    <sheetView workbookViewId="0"/>
  </sheetViews>
  <sheetFormatPr defaultRowHeight="14.4" x14ac:dyDescent="0.25"/>
  <cols>
    <col min="1" max="1" width="3.77734375" customWidth="1"/>
    <col min="2" max="2" width="9.44140625" customWidth="1"/>
  </cols>
  <sheetData>
    <row r="1" spans="1:19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39.6" x14ac:dyDescent="0.25">
      <c r="A2" s="4"/>
      <c r="B2" s="22" t="s">
        <v>22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 spans="1:19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</row>
    <row r="8" spans="1:19" x14ac:dyDescent="0.25">
      <c r="B8" t="s">
        <v>25</v>
      </c>
      <c r="C8" t="s">
        <v>26</v>
      </c>
    </row>
    <row r="9" spans="1:19" x14ac:dyDescent="0.25">
      <c r="B9">
        <v>90001</v>
      </c>
      <c r="C9" t="s">
        <v>45</v>
      </c>
    </row>
    <row r="10" spans="1:19" x14ac:dyDescent="0.25">
      <c r="B10">
        <v>90002</v>
      </c>
      <c r="C10" t="s">
        <v>46</v>
      </c>
    </row>
    <row r="11" spans="1:19" x14ac:dyDescent="0.25">
      <c r="B11">
        <v>90003</v>
      </c>
      <c r="C11" t="s">
        <v>40</v>
      </c>
    </row>
    <row r="12" spans="1:19" x14ac:dyDescent="0.25">
      <c r="B12">
        <v>90004</v>
      </c>
      <c r="C12" t="s">
        <v>47</v>
      </c>
    </row>
    <row r="13" spans="1:19" x14ac:dyDescent="0.25">
      <c r="B13">
        <v>90005</v>
      </c>
      <c r="C13" t="s">
        <v>38</v>
      </c>
    </row>
    <row r="14" spans="1:19" x14ac:dyDescent="0.25">
      <c r="B14">
        <v>90006</v>
      </c>
      <c r="C14" t="s">
        <v>48</v>
      </c>
    </row>
    <row r="15" spans="1:19" x14ac:dyDescent="0.25">
      <c r="B15">
        <v>90007</v>
      </c>
      <c r="C15" t="s">
        <v>49</v>
      </c>
    </row>
    <row r="16" spans="1:19" x14ac:dyDescent="0.25">
      <c r="B16">
        <v>90008</v>
      </c>
      <c r="C16" t="s">
        <v>50</v>
      </c>
    </row>
    <row r="17" spans="2:3" x14ac:dyDescent="0.25">
      <c r="B17">
        <v>90009</v>
      </c>
      <c r="C17" t="s">
        <v>51</v>
      </c>
    </row>
    <row r="18" spans="2:3" x14ac:dyDescent="0.25">
      <c r="B18">
        <v>90010</v>
      </c>
      <c r="C18" t="s">
        <v>52</v>
      </c>
    </row>
    <row r="19" spans="2:3" x14ac:dyDescent="0.25">
      <c r="B19">
        <v>90011</v>
      </c>
      <c r="C19" t="s">
        <v>53</v>
      </c>
    </row>
    <row r="20" spans="2:3" x14ac:dyDescent="0.25">
      <c r="B20">
        <v>90012</v>
      </c>
      <c r="C20" t="s">
        <v>54</v>
      </c>
    </row>
    <row r="21" spans="2:3" x14ac:dyDescent="0.25">
      <c r="B21">
        <v>90013</v>
      </c>
      <c r="C21" t="s">
        <v>45</v>
      </c>
    </row>
    <row r="22" spans="2:3" x14ac:dyDescent="0.25">
      <c r="B22">
        <v>90014</v>
      </c>
      <c r="C22" t="s">
        <v>55</v>
      </c>
    </row>
    <row r="23" spans="2:3" x14ac:dyDescent="0.25">
      <c r="B23">
        <v>90015</v>
      </c>
      <c r="C23" t="s">
        <v>56</v>
      </c>
    </row>
  </sheetData>
  <phoneticPr fontId="3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1</vt:i4>
      </vt:variant>
    </vt:vector>
  </HeadingPairs>
  <TitlesOfParts>
    <vt:vector size="9" baseType="lpstr">
      <vt:lpstr>案例一</vt:lpstr>
      <vt:lpstr>案例二</vt:lpstr>
      <vt:lpstr>销售数据1</vt:lpstr>
      <vt:lpstr>销售报表1</vt:lpstr>
      <vt:lpstr>库存1</vt:lpstr>
      <vt:lpstr>销售数据</vt:lpstr>
      <vt:lpstr>销售报表</vt:lpstr>
      <vt:lpstr>库存</vt:lpstr>
      <vt:lpstr>季度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雅客</dc:creator>
  <cp:lastModifiedBy>世昌 邵</cp:lastModifiedBy>
  <dcterms:created xsi:type="dcterms:W3CDTF">2018-10-08T08:57:43Z</dcterms:created>
  <dcterms:modified xsi:type="dcterms:W3CDTF">2024-11-02T08:20:17Z</dcterms:modified>
</cp:coreProperties>
</file>