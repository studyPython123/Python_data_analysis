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782\Desktop\数据分析\Excel表格操作练习实操\02 excel图表制作练习\"/>
    </mc:Choice>
  </mc:AlternateContent>
  <xr:revisionPtr revIDLastSave="0" documentId="13_ncr:1_{E1249B7E-3FD5-46DC-99B3-CBFCB58AEA58}" xr6:coauthVersionLast="47" xr6:coauthVersionMax="47" xr10:uidLastSave="{00000000-0000-0000-0000-000000000000}"/>
  <bookViews>
    <workbookView xWindow="-108" yWindow="-108" windowWidth="23256" windowHeight="12456" activeTab="2" xr2:uid="{DC6D0747-FBB0-42AF-AB4E-8A62F6B74429}"/>
  </bookViews>
  <sheets>
    <sheet name="案例一" sheetId="1" r:id="rId1"/>
    <sheet name="Sheet4" sheetId="4" r:id="rId2"/>
    <sheet name="案例二" sheetId="2" r:id="rId3"/>
    <sheet name="Sheet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4" l="1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3" i="4"/>
  <c r="J12" i="4"/>
  <c r="J11" i="4"/>
  <c r="J10" i="4"/>
  <c r="J9" i="4"/>
  <c r="J8" i="4"/>
  <c r="J7" i="4"/>
  <c r="J6" i="4"/>
  <c r="J5" i="4"/>
  <c r="J4" i="4"/>
  <c r="J3" i="4"/>
  <c r="J2" i="4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2" i="1"/>
</calcChain>
</file>

<file path=xl/sharedStrings.xml><?xml version="1.0" encoding="utf-8"?>
<sst xmlns="http://schemas.openxmlformats.org/spreadsheetml/2006/main" count="467" uniqueCount="141">
  <si>
    <t>店铺</t>
    <phoneticPr fontId="1" type="noConversion"/>
  </si>
  <si>
    <t>产品名称</t>
    <phoneticPr fontId="1" type="noConversion"/>
  </si>
  <si>
    <t>规格型号</t>
    <phoneticPr fontId="1" type="noConversion"/>
  </si>
  <si>
    <t>入库时间</t>
    <phoneticPr fontId="1" type="noConversion"/>
  </si>
  <si>
    <t>成交时间</t>
    <phoneticPr fontId="1" type="noConversion"/>
  </si>
  <si>
    <t>库存数量</t>
    <phoneticPr fontId="1" type="noConversion"/>
  </si>
  <si>
    <t>价格</t>
    <phoneticPr fontId="1" type="noConversion"/>
  </si>
  <si>
    <t>销售数量</t>
    <phoneticPr fontId="1" type="noConversion"/>
  </si>
  <si>
    <t>销售金额</t>
    <phoneticPr fontId="1" type="noConversion"/>
  </si>
  <si>
    <t>7-ELEVEN</t>
    <phoneticPr fontId="1" type="noConversion"/>
  </si>
  <si>
    <t>广东广州天河区</t>
    <phoneticPr fontId="1" type="noConversion"/>
  </si>
  <si>
    <t>宝矿力</t>
    <phoneticPr fontId="1" type="noConversion"/>
  </si>
  <si>
    <t>BKL5275534</t>
    <phoneticPr fontId="1" type="noConversion"/>
  </si>
  <si>
    <t>2018.4.21</t>
    <phoneticPr fontId="1" type="noConversion"/>
  </si>
  <si>
    <t>广东广州荔湾区</t>
    <phoneticPr fontId="1" type="noConversion"/>
  </si>
  <si>
    <t>BKL5275535</t>
  </si>
  <si>
    <t>广东广州海珠区</t>
    <phoneticPr fontId="1" type="noConversion"/>
  </si>
  <si>
    <t>广东广州黄埔区</t>
    <phoneticPr fontId="1" type="noConversion"/>
  </si>
  <si>
    <t>BKL5275537</t>
  </si>
  <si>
    <t>BKL5275538</t>
  </si>
  <si>
    <t>YLD12422508295</t>
    <phoneticPr fontId="1" type="noConversion"/>
  </si>
  <si>
    <t>YLD12422508296</t>
    <phoneticPr fontId="1" type="noConversion"/>
  </si>
  <si>
    <t>喜士多</t>
    <phoneticPr fontId="1" type="noConversion"/>
  </si>
  <si>
    <t>广东广州越秀区</t>
    <phoneticPr fontId="1" type="noConversion"/>
  </si>
  <si>
    <t>益力多</t>
    <phoneticPr fontId="1" type="noConversion"/>
  </si>
  <si>
    <t>YLD12422508297</t>
    <phoneticPr fontId="1" type="noConversion"/>
  </si>
  <si>
    <t>YLD12422508298</t>
    <phoneticPr fontId="1" type="noConversion"/>
  </si>
  <si>
    <t>YLD12422508299</t>
    <phoneticPr fontId="1" type="noConversion"/>
  </si>
  <si>
    <t>阿萨姆奶茶</t>
    <phoneticPr fontId="1" type="noConversion"/>
  </si>
  <si>
    <t>SM967962</t>
    <phoneticPr fontId="1" type="noConversion"/>
  </si>
  <si>
    <t>SM967963</t>
  </si>
  <si>
    <t>SM967965</t>
  </si>
  <si>
    <t>广东广州萝岗区</t>
    <phoneticPr fontId="1" type="noConversion"/>
  </si>
  <si>
    <t>SM967966</t>
  </si>
  <si>
    <t>2018-9.4</t>
    <phoneticPr fontId="1" type="noConversion"/>
  </si>
  <si>
    <t>全家</t>
    <phoneticPr fontId="1" type="noConversion"/>
  </si>
  <si>
    <t>广东广州白云区</t>
    <phoneticPr fontId="1" type="noConversion"/>
  </si>
  <si>
    <t>菠萝啤</t>
    <phoneticPr fontId="1" type="noConversion"/>
  </si>
  <si>
    <t>BLP1730749</t>
    <phoneticPr fontId="1" type="noConversion"/>
  </si>
  <si>
    <t>BLP1730750</t>
  </si>
  <si>
    <t>BLP1730751</t>
  </si>
  <si>
    <t>BLP1730752</t>
  </si>
  <si>
    <t>BLP1730753</t>
  </si>
  <si>
    <t>广东东莞麻涌镇</t>
    <phoneticPr fontId="1" type="noConversion"/>
  </si>
  <si>
    <t>可口可乐</t>
    <phoneticPr fontId="1" type="noConversion"/>
  </si>
  <si>
    <t>COCO959718</t>
    <phoneticPr fontId="1" type="noConversion"/>
  </si>
  <si>
    <t>COCO959719</t>
  </si>
  <si>
    <t>2018.8-15</t>
    <phoneticPr fontId="1" type="noConversion"/>
  </si>
  <si>
    <t>COCO959720</t>
  </si>
  <si>
    <t>COCO959721</t>
  </si>
  <si>
    <t>广东东莞虎门镇</t>
    <phoneticPr fontId="1" type="noConversion"/>
  </si>
  <si>
    <t>Coca-Cola</t>
    <phoneticPr fontId="1" type="noConversion"/>
  </si>
  <si>
    <t>COCO959722</t>
  </si>
  <si>
    <t>COCO959723</t>
  </si>
  <si>
    <t>COCO959724</t>
  </si>
  <si>
    <t>COCO959725</t>
  </si>
  <si>
    <t>广东东莞厚街镇</t>
    <phoneticPr fontId="1" type="noConversion"/>
  </si>
  <si>
    <t>XB13733509655</t>
    <phoneticPr fontId="1" type="noConversion"/>
  </si>
  <si>
    <t>XB13733509656</t>
    <phoneticPr fontId="1" type="noConversion"/>
  </si>
  <si>
    <t>XB13733509657</t>
    <phoneticPr fontId="1" type="noConversion"/>
  </si>
  <si>
    <t>2018/4/2118:21:12</t>
  </si>
  <si>
    <t>2018/4/2218:21:12</t>
  </si>
  <si>
    <t>BKL5275536</t>
  </si>
  <si>
    <t>2018/4/2318:21:12</t>
  </si>
  <si>
    <t>2018/4/2418:21:12</t>
  </si>
  <si>
    <t>2018/4/2518:21:12</t>
  </si>
  <si>
    <t>益力多</t>
  </si>
  <si>
    <t>2018/4/2618:21:12</t>
  </si>
  <si>
    <t>2018/4/2718:21:12</t>
  </si>
  <si>
    <t>2018/4/2818:21:12</t>
  </si>
  <si>
    <t>2018/4/2918:21:12</t>
  </si>
  <si>
    <t>2018/4/3018:21:12</t>
  </si>
  <si>
    <t>2018/5/118:21:12</t>
  </si>
  <si>
    <t>2018/5/218:21:12</t>
  </si>
  <si>
    <t>阿萨姆奶茶</t>
  </si>
  <si>
    <t>SM967964</t>
  </si>
  <si>
    <t>2018/5/318:21:12</t>
  </si>
  <si>
    <t>2018/5/418:21:12</t>
  </si>
  <si>
    <t>2018/5/518:21:12</t>
  </si>
  <si>
    <t>2018/5/618:21:12</t>
  </si>
  <si>
    <t>2018/5/718:21:12</t>
  </si>
  <si>
    <t>2018/5/818:21:12</t>
  </si>
  <si>
    <t>2018/5/918:21:12</t>
  </si>
  <si>
    <t>2018/5/1018:21:12</t>
  </si>
  <si>
    <t>2018/5/1118:21:12</t>
  </si>
  <si>
    <t>2018/5/1218:21:12</t>
  </si>
  <si>
    <t>2018/5/1318:21:12</t>
  </si>
  <si>
    <t>2018/5/1418:21:12</t>
  </si>
  <si>
    <t>2018/5/1518:21:12</t>
  </si>
  <si>
    <t>2018/5/1618:21:12</t>
  </si>
  <si>
    <t>2018/5/1718:21:12</t>
  </si>
  <si>
    <t>2018/5/1818:21:12</t>
  </si>
  <si>
    <t>雪碧</t>
  </si>
  <si>
    <t>2018/5/1918:21:12</t>
  </si>
  <si>
    <t>2018/5/2018:21:12</t>
  </si>
  <si>
    <t>2018/5/2118:21:12</t>
  </si>
  <si>
    <t>省份</t>
    <phoneticPr fontId="1" type="noConversion"/>
  </si>
  <si>
    <t>7-ELEVEN</t>
  </si>
  <si>
    <t>广东广州黄埔区</t>
  </si>
  <si>
    <t>喜士多</t>
  </si>
  <si>
    <t>广东广州越秀区</t>
  </si>
  <si>
    <t>全家</t>
  </si>
  <si>
    <t>广东广州白云区</t>
  </si>
  <si>
    <t>广东东莞麻涌镇</t>
  </si>
  <si>
    <t>广东东莞虎门镇</t>
  </si>
  <si>
    <t>广东东莞厚街镇</t>
  </si>
  <si>
    <t>编号</t>
    <phoneticPr fontId="1" type="noConversion"/>
  </si>
  <si>
    <t>销售人员</t>
    <phoneticPr fontId="1" type="noConversion"/>
  </si>
  <si>
    <t>销售分部</t>
    <phoneticPr fontId="1" type="noConversion"/>
  </si>
  <si>
    <t>计划销售金额</t>
    <phoneticPr fontId="1" type="noConversion"/>
  </si>
  <si>
    <t>实际销售金额</t>
    <phoneticPr fontId="1" type="noConversion"/>
  </si>
  <si>
    <t>程骁锐</t>
    <phoneticPr fontId="1" type="noConversion"/>
  </si>
  <si>
    <t>王跃文</t>
    <phoneticPr fontId="1" type="noConversion"/>
  </si>
  <si>
    <t>李静</t>
    <phoneticPr fontId="1" type="noConversion"/>
  </si>
  <si>
    <t>何晴</t>
    <phoneticPr fontId="1" type="noConversion"/>
  </si>
  <si>
    <t>春晓</t>
    <phoneticPr fontId="1" type="noConversion"/>
  </si>
  <si>
    <t>王春天</t>
    <phoneticPr fontId="1" type="noConversion"/>
  </si>
  <si>
    <t>朱文</t>
    <phoneticPr fontId="1" type="noConversion"/>
  </si>
  <si>
    <t>欧阳文</t>
    <phoneticPr fontId="1" type="noConversion"/>
  </si>
  <si>
    <t>侯佩佩</t>
    <phoneticPr fontId="1" type="noConversion"/>
  </si>
  <si>
    <t>李丽</t>
    <phoneticPr fontId="1" type="noConversion"/>
  </si>
  <si>
    <t>冬雨</t>
    <phoneticPr fontId="1" type="noConversion"/>
  </si>
  <si>
    <t>吕梁</t>
    <phoneticPr fontId="1" type="noConversion"/>
  </si>
  <si>
    <t>杨柳</t>
    <phoneticPr fontId="1" type="noConversion"/>
  </si>
  <si>
    <t>李向东</t>
    <phoneticPr fontId="1" type="noConversion"/>
  </si>
  <si>
    <t>杨洋</t>
    <phoneticPr fontId="1" type="noConversion"/>
  </si>
  <si>
    <t>刘丽</t>
    <phoneticPr fontId="1" type="noConversion"/>
  </si>
  <si>
    <t>王晶</t>
    <phoneticPr fontId="1" type="noConversion"/>
  </si>
  <si>
    <t>李婷</t>
    <phoneticPr fontId="1" type="noConversion"/>
  </si>
  <si>
    <t>程骁春</t>
    <phoneticPr fontId="1" type="noConversion"/>
  </si>
  <si>
    <t>韩美</t>
    <phoneticPr fontId="1" type="noConversion"/>
  </si>
  <si>
    <t>销售一部</t>
    <phoneticPr fontId="1" type="noConversion"/>
  </si>
  <si>
    <t>销售二部</t>
    <phoneticPr fontId="1" type="noConversion"/>
  </si>
  <si>
    <t>销售三部</t>
    <phoneticPr fontId="1" type="noConversion"/>
  </si>
  <si>
    <t>序号</t>
    <phoneticPr fontId="1" type="noConversion"/>
  </si>
  <si>
    <t>班级</t>
    <phoneticPr fontId="1" type="noConversion"/>
  </si>
  <si>
    <t>姓名</t>
    <phoneticPr fontId="1" type="noConversion"/>
  </si>
  <si>
    <t>语文</t>
    <phoneticPr fontId="1" type="noConversion"/>
  </si>
  <si>
    <t>数学</t>
    <phoneticPr fontId="1" type="noConversion"/>
  </si>
  <si>
    <t>英语</t>
    <phoneticPr fontId="1" type="noConversion"/>
  </si>
  <si>
    <t>高三二班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</si>
</sst>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黑体"/>
      <family val="2"/>
      <charset val="134"/>
    </font>
    <font>
      <sz val="9"/>
      <name val="黑体"/>
      <family val="2"/>
      <charset val="134"/>
    </font>
    <font>
      <sz val="11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22" fontId="2" fillId="0" borderId="0" xfId="0" applyNumberFormat="1" applyFon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>
      <alignment vertic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1" defaultTableStyle="TableStyleMedium2" defaultPivotStyle="PivotStyleLight16">
    <tableStyle name="Invisible" pivot="0" table="0" count="0" xr9:uid="{4CCFB88E-D0A3-4282-AA3A-CEBDFD42E02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案例二!$E$1</c:f>
              <c:strCache>
                <c:ptCount val="1"/>
                <c:pt idx="0">
                  <c:v>实际销售金额</c:v>
                </c:pt>
              </c:strCache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案例二!$E$2:$E$21</c:f>
              <c:numCache>
                <c:formatCode>General</c:formatCode>
                <c:ptCount val="20"/>
                <c:pt idx="0">
                  <c:v>5600</c:v>
                </c:pt>
                <c:pt idx="1">
                  <c:v>4500</c:v>
                </c:pt>
                <c:pt idx="2">
                  <c:v>3400</c:v>
                </c:pt>
                <c:pt idx="3">
                  <c:v>6500</c:v>
                </c:pt>
                <c:pt idx="4">
                  <c:v>5500</c:v>
                </c:pt>
                <c:pt idx="5">
                  <c:v>2250</c:v>
                </c:pt>
                <c:pt idx="6">
                  <c:v>6500</c:v>
                </c:pt>
                <c:pt idx="7">
                  <c:v>4700</c:v>
                </c:pt>
                <c:pt idx="8">
                  <c:v>7800</c:v>
                </c:pt>
                <c:pt idx="9">
                  <c:v>3444</c:v>
                </c:pt>
                <c:pt idx="10">
                  <c:v>5677</c:v>
                </c:pt>
                <c:pt idx="11">
                  <c:v>3336</c:v>
                </c:pt>
                <c:pt idx="12">
                  <c:v>5746</c:v>
                </c:pt>
                <c:pt idx="13">
                  <c:v>3656</c:v>
                </c:pt>
                <c:pt idx="14">
                  <c:v>2344</c:v>
                </c:pt>
                <c:pt idx="15">
                  <c:v>9667</c:v>
                </c:pt>
                <c:pt idx="16">
                  <c:v>5674</c:v>
                </c:pt>
                <c:pt idx="17">
                  <c:v>7468</c:v>
                </c:pt>
                <c:pt idx="18">
                  <c:v>4563</c:v>
                </c:pt>
                <c:pt idx="19">
                  <c:v>7467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EF6-435B-97EA-91BDEFF4D3B0}"/>
            </c:ext>
          </c:extLst>
        </c:ser>
        <c:ser>
          <c:idx val="1"/>
          <c:order val="1"/>
          <c:tx>
            <c:strRef>
              <c:f>案例二!$F$1</c:f>
              <c:strCache>
                <c:ptCount val="1"/>
                <c:pt idx="0">
                  <c:v>计划销售金额</c:v>
                </c:pt>
              </c:strCache>
            </c:strRef>
          </c:tx>
          <c:spPr>
            <a:ln w="28575" cap="rnd">
              <a:solidFill>
                <a:srgbClr val="00B050">
                  <a:alpha val="50000"/>
                </a:srgbClr>
              </a:solidFill>
              <a:round/>
            </a:ln>
            <a:effectLst/>
          </c:spPr>
          <c:marker>
            <c:symbol val="none"/>
          </c:marker>
          <c:dLbls>
            <c:dLbl>
              <c:idx val="18"/>
              <c:layout>
                <c:manualLayout>
                  <c:x val="2.7800407331975561E-2"/>
                  <c:y val="3.90290653323506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EF6-435B-97EA-91BDEFF4D3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案例二!$F$2:$F$21</c:f>
              <c:numCache>
                <c:formatCode>General</c:formatCode>
                <c:ptCount val="20"/>
                <c:pt idx="0">
                  <c:v>3500</c:v>
                </c:pt>
                <c:pt idx="1">
                  <c:v>3500</c:v>
                </c:pt>
                <c:pt idx="2">
                  <c:v>3500</c:v>
                </c:pt>
                <c:pt idx="3">
                  <c:v>3500</c:v>
                </c:pt>
                <c:pt idx="4">
                  <c:v>3500</c:v>
                </c:pt>
                <c:pt idx="5">
                  <c:v>3500</c:v>
                </c:pt>
                <c:pt idx="6">
                  <c:v>3500</c:v>
                </c:pt>
                <c:pt idx="7">
                  <c:v>3500</c:v>
                </c:pt>
                <c:pt idx="8">
                  <c:v>3500</c:v>
                </c:pt>
                <c:pt idx="9">
                  <c:v>3500</c:v>
                </c:pt>
                <c:pt idx="10">
                  <c:v>3500</c:v>
                </c:pt>
                <c:pt idx="11">
                  <c:v>3500</c:v>
                </c:pt>
                <c:pt idx="12">
                  <c:v>3500</c:v>
                </c:pt>
                <c:pt idx="13">
                  <c:v>3500</c:v>
                </c:pt>
                <c:pt idx="14">
                  <c:v>3500</c:v>
                </c:pt>
                <c:pt idx="15">
                  <c:v>3500</c:v>
                </c:pt>
                <c:pt idx="16">
                  <c:v>3500</c:v>
                </c:pt>
                <c:pt idx="17">
                  <c:v>3500</c:v>
                </c:pt>
                <c:pt idx="18">
                  <c:v>3500</c:v>
                </c:pt>
                <c:pt idx="19">
                  <c:v>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F6-435B-97EA-91BDEFF4D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0498975"/>
        <c:axId val="2070499935"/>
      </c:lineChart>
      <c:catAx>
        <c:axId val="20704989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0499935"/>
        <c:crosses val="autoZero"/>
        <c:auto val="1"/>
        <c:lblAlgn val="ctr"/>
        <c:lblOffset val="100"/>
        <c:noMultiLvlLbl val="0"/>
      </c:catAx>
      <c:valAx>
        <c:axId val="2070499935"/>
        <c:scaling>
          <c:orientation val="minMax"/>
        </c:scaling>
        <c:delete val="0"/>
        <c:axPos val="l"/>
        <c:numFmt formatCode="0&quot;¥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0498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12700" cap="rnd" cmpd="thickThin" algn="ctr">
      <a:solidFill>
        <a:schemeClr val="tx1"/>
      </a:solidFill>
      <a:prstDash val="solid"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373380</xdr:colOff>
      <xdr:row>22</xdr:row>
      <xdr:rowOff>83820</xdr:rowOff>
    </xdr:from>
    <xdr:to>
      <xdr:col>12</xdr:col>
      <xdr:colOff>342900</xdr:colOff>
      <xdr:row>40</xdr:row>
      <xdr:rowOff>38100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9190E5F-3E4A-C015-F561-30EB69D55D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3907A-106D-42CC-8B57-5560DF4B6CAD}">
  <dimension ref="A1:J41"/>
  <sheetViews>
    <sheetView workbookViewId="0">
      <selection activeCell="I2" sqref="I2"/>
    </sheetView>
  </sheetViews>
  <sheetFormatPr defaultRowHeight="14.4" x14ac:dyDescent="0.25"/>
  <cols>
    <col min="1" max="1" width="8.88671875" customWidth="1"/>
    <col min="2" max="2" width="15.44140625" customWidth="1"/>
    <col min="3" max="3" width="12" customWidth="1"/>
    <col min="4" max="4" width="18.33203125" customWidth="1"/>
    <col min="5" max="5" width="10.77734375" style="1" customWidth="1"/>
    <col min="6" max="6" width="19.21875" customWidth="1"/>
  </cols>
  <sheetData>
    <row r="1" spans="1:10" x14ac:dyDescent="0.25">
      <c r="A1" t="s">
        <v>0</v>
      </c>
      <c r="B1" s="5" t="s">
        <v>96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9</v>
      </c>
      <c r="B2" s="2" t="s">
        <v>10</v>
      </c>
      <c r="C2" t="s">
        <v>11</v>
      </c>
      <c r="D2" t="s">
        <v>12</v>
      </c>
      <c r="E2" s="1" t="s">
        <v>13</v>
      </c>
      <c r="F2" s="3" t="s">
        <v>60</v>
      </c>
      <c r="G2">
        <v>28</v>
      </c>
      <c r="H2">
        <v>5</v>
      </c>
      <c r="I2">
        <v>300</v>
      </c>
      <c r="J2">
        <f>H2*I2</f>
        <v>1500</v>
      </c>
    </row>
    <row r="3" spans="1:10" x14ac:dyDescent="0.25">
      <c r="A3" t="s">
        <v>97</v>
      </c>
      <c r="B3" s="2" t="s">
        <v>14</v>
      </c>
      <c r="C3" t="s">
        <v>11</v>
      </c>
      <c r="D3" t="s">
        <v>15</v>
      </c>
      <c r="E3" s="1" t="s">
        <v>13</v>
      </c>
      <c r="F3" s="3" t="s">
        <v>61</v>
      </c>
      <c r="G3">
        <v>28</v>
      </c>
      <c r="H3">
        <v>5</v>
      </c>
      <c r="I3">
        <v>200</v>
      </c>
      <c r="J3">
        <f t="shared" ref="J3:J32" si="0">H3*I3</f>
        <v>1000</v>
      </c>
    </row>
    <row r="4" spans="1:10" x14ac:dyDescent="0.25">
      <c r="A4" t="s">
        <v>97</v>
      </c>
      <c r="B4" s="2" t="s">
        <v>16</v>
      </c>
      <c r="C4" t="s">
        <v>11</v>
      </c>
      <c r="D4" t="s">
        <v>62</v>
      </c>
      <c r="E4" s="1" t="s">
        <v>13</v>
      </c>
      <c r="F4" s="3" t="s">
        <v>63</v>
      </c>
      <c r="G4">
        <v>28</v>
      </c>
      <c r="H4">
        <v>5</v>
      </c>
      <c r="I4">
        <v>100</v>
      </c>
      <c r="J4">
        <f t="shared" si="0"/>
        <v>500</v>
      </c>
    </row>
    <row r="5" spans="1:10" x14ac:dyDescent="0.25">
      <c r="A5" t="s">
        <v>97</v>
      </c>
      <c r="B5" s="2" t="s">
        <v>17</v>
      </c>
      <c r="C5" t="s">
        <v>11</v>
      </c>
      <c r="D5" t="s">
        <v>18</v>
      </c>
      <c r="E5" s="1" t="s">
        <v>13</v>
      </c>
      <c r="F5" s="3" t="s">
        <v>64</v>
      </c>
      <c r="G5">
        <v>28</v>
      </c>
      <c r="H5">
        <v>5</v>
      </c>
      <c r="I5">
        <v>300</v>
      </c>
      <c r="J5">
        <f t="shared" si="0"/>
        <v>1500</v>
      </c>
    </row>
    <row r="6" spans="1:10" x14ac:dyDescent="0.25">
      <c r="A6" t="s">
        <v>97</v>
      </c>
      <c r="B6" s="2" t="s">
        <v>98</v>
      </c>
      <c r="C6" t="s">
        <v>11</v>
      </c>
      <c r="D6" t="s">
        <v>19</v>
      </c>
      <c r="E6" s="1" t="s">
        <v>13</v>
      </c>
      <c r="F6" s="3" t="s">
        <v>65</v>
      </c>
      <c r="G6">
        <v>28</v>
      </c>
      <c r="H6">
        <v>5</v>
      </c>
      <c r="I6">
        <v>1000</v>
      </c>
      <c r="J6">
        <f t="shared" si="0"/>
        <v>5000</v>
      </c>
    </row>
    <row r="7" spans="1:10" x14ac:dyDescent="0.25">
      <c r="A7" t="s">
        <v>97</v>
      </c>
      <c r="B7" s="2" t="s">
        <v>98</v>
      </c>
      <c r="C7" t="s">
        <v>66</v>
      </c>
      <c r="D7" t="s">
        <v>20</v>
      </c>
      <c r="E7" s="1" t="s">
        <v>13</v>
      </c>
      <c r="F7" s="3" t="s">
        <v>67</v>
      </c>
      <c r="G7">
        <v>28</v>
      </c>
      <c r="H7">
        <v>4</v>
      </c>
      <c r="I7">
        <v>600</v>
      </c>
      <c r="J7">
        <f t="shared" si="0"/>
        <v>2400</v>
      </c>
    </row>
    <row r="8" spans="1:10" x14ac:dyDescent="0.25">
      <c r="A8" t="s">
        <v>97</v>
      </c>
      <c r="B8" s="2" t="s">
        <v>98</v>
      </c>
      <c r="C8" t="s">
        <v>66</v>
      </c>
      <c r="D8" t="s">
        <v>21</v>
      </c>
      <c r="E8" s="1" t="s">
        <v>13</v>
      </c>
      <c r="F8" s="3" t="s">
        <v>68</v>
      </c>
      <c r="G8">
        <v>28</v>
      </c>
      <c r="H8">
        <v>4</v>
      </c>
      <c r="I8">
        <v>66</v>
      </c>
      <c r="J8">
        <f t="shared" si="0"/>
        <v>264</v>
      </c>
    </row>
    <row r="9" spans="1:10" x14ac:dyDescent="0.25">
      <c r="A9" t="s">
        <v>22</v>
      </c>
      <c r="B9" s="2" t="s">
        <v>23</v>
      </c>
      <c r="C9" t="s">
        <v>24</v>
      </c>
      <c r="D9" t="s">
        <v>25</v>
      </c>
      <c r="E9" s="4">
        <v>43222</v>
      </c>
      <c r="F9" s="3" t="s">
        <v>69</v>
      </c>
      <c r="G9">
        <v>28</v>
      </c>
      <c r="H9">
        <v>4</v>
      </c>
      <c r="I9">
        <v>59</v>
      </c>
      <c r="J9">
        <f t="shared" si="0"/>
        <v>236</v>
      </c>
    </row>
    <row r="10" spans="1:10" x14ac:dyDescent="0.25">
      <c r="A10" t="s">
        <v>99</v>
      </c>
      <c r="B10" s="2" t="s">
        <v>100</v>
      </c>
      <c r="C10" t="s">
        <v>24</v>
      </c>
      <c r="D10" t="s">
        <v>26</v>
      </c>
      <c r="E10" s="4">
        <v>43222</v>
      </c>
      <c r="F10" s="3" t="s">
        <v>70</v>
      </c>
      <c r="G10">
        <v>28</v>
      </c>
      <c r="H10">
        <v>4</v>
      </c>
      <c r="I10">
        <v>2000</v>
      </c>
      <c r="J10">
        <f t="shared" si="0"/>
        <v>8000</v>
      </c>
    </row>
    <row r="11" spans="1:10" x14ac:dyDescent="0.25">
      <c r="A11" t="s">
        <v>99</v>
      </c>
      <c r="B11" s="2" t="s">
        <v>100</v>
      </c>
      <c r="C11" t="s">
        <v>24</v>
      </c>
      <c r="D11" t="s">
        <v>27</v>
      </c>
      <c r="E11" s="4">
        <v>43222</v>
      </c>
      <c r="F11" s="3" t="s">
        <v>71</v>
      </c>
      <c r="G11">
        <v>28</v>
      </c>
      <c r="H11">
        <v>4</v>
      </c>
      <c r="I11">
        <v>389</v>
      </c>
      <c r="J11">
        <f t="shared" si="0"/>
        <v>1556</v>
      </c>
    </row>
    <row r="12" spans="1:10" x14ac:dyDescent="0.25">
      <c r="A12" t="s">
        <v>99</v>
      </c>
      <c r="B12" s="2" t="s">
        <v>100</v>
      </c>
      <c r="C12" t="s">
        <v>28</v>
      </c>
      <c r="D12" t="s">
        <v>29</v>
      </c>
      <c r="E12" s="4">
        <v>43222</v>
      </c>
      <c r="F12" s="3" t="s">
        <v>72</v>
      </c>
      <c r="G12">
        <v>28</v>
      </c>
      <c r="H12">
        <v>4</v>
      </c>
      <c r="I12">
        <v>388</v>
      </c>
      <c r="J12">
        <f t="shared" si="0"/>
        <v>1552</v>
      </c>
    </row>
    <row r="13" spans="1:10" x14ac:dyDescent="0.25">
      <c r="A13" t="s">
        <v>99</v>
      </c>
      <c r="B13" s="2" t="s">
        <v>100</v>
      </c>
      <c r="C13" t="s">
        <v>28</v>
      </c>
      <c r="D13" t="s">
        <v>30</v>
      </c>
      <c r="E13" s="4">
        <v>43222</v>
      </c>
      <c r="F13" s="3" t="s">
        <v>73</v>
      </c>
      <c r="G13">
        <v>28</v>
      </c>
      <c r="H13">
        <v>4</v>
      </c>
      <c r="I13">
        <v>290</v>
      </c>
      <c r="J13">
        <f t="shared" si="0"/>
        <v>1160</v>
      </c>
    </row>
    <row r="14" spans="1:10" x14ac:dyDescent="0.25">
      <c r="A14" t="s">
        <v>99</v>
      </c>
      <c r="B14" s="2" t="s">
        <v>100</v>
      </c>
      <c r="C14" t="s">
        <v>74</v>
      </c>
      <c r="D14" t="s">
        <v>75</v>
      </c>
      <c r="E14" s="4">
        <v>43222</v>
      </c>
      <c r="F14" s="3" t="s">
        <v>76</v>
      </c>
      <c r="G14">
        <v>46</v>
      </c>
      <c r="H14">
        <v>4</v>
      </c>
      <c r="I14">
        <v>4000</v>
      </c>
      <c r="J14">
        <f t="shared" si="0"/>
        <v>16000</v>
      </c>
    </row>
    <row r="15" spans="1:10" x14ac:dyDescent="0.25">
      <c r="A15" t="s">
        <v>99</v>
      </c>
      <c r="B15" s="2" t="s">
        <v>100</v>
      </c>
      <c r="C15" t="s">
        <v>28</v>
      </c>
      <c r="D15" t="s">
        <v>31</v>
      </c>
      <c r="E15" s="4">
        <v>43222</v>
      </c>
      <c r="F15" s="3" t="s">
        <v>77</v>
      </c>
      <c r="G15">
        <v>46</v>
      </c>
      <c r="H15">
        <v>4</v>
      </c>
      <c r="I15">
        <v>5888</v>
      </c>
      <c r="J15">
        <f t="shared" si="0"/>
        <v>23552</v>
      </c>
    </row>
    <row r="16" spans="1:10" x14ac:dyDescent="0.25">
      <c r="A16" t="s">
        <v>99</v>
      </c>
      <c r="B16" s="2" t="s">
        <v>32</v>
      </c>
      <c r="C16" t="s">
        <v>74</v>
      </c>
      <c r="D16" t="s">
        <v>33</v>
      </c>
      <c r="E16" s="1" t="s">
        <v>34</v>
      </c>
      <c r="F16" s="3" t="s">
        <v>78</v>
      </c>
      <c r="G16">
        <v>46</v>
      </c>
      <c r="H16">
        <v>4</v>
      </c>
      <c r="I16">
        <v>5677</v>
      </c>
      <c r="J16">
        <f t="shared" si="0"/>
        <v>22708</v>
      </c>
    </row>
    <row r="17" spans="1:10" x14ac:dyDescent="0.25">
      <c r="A17" t="s">
        <v>35</v>
      </c>
      <c r="B17" s="2" t="s">
        <v>36</v>
      </c>
      <c r="C17" t="s">
        <v>37</v>
      </c>
      <c r="D17" t="s">
        <v>38</v>
      </c>
      <c r="E17" s="1" t="s">
        <v>34</v>
      </c>
      <c r="F17" s="3" t="s">
        <v>79</v>
      </c>
      <c r="G17">
        <v>46</v>
      </c>
      <c r="H17">
        <v>5</v>
      </c>
      <c r="I17">
        <v>1345</v>
      </c>
      <c r="J17">
        <f t="shared" si="0"/>
        <v>6725</v>
      </c>
    </row>
    <row r="18" spans="1:10" x14ac:dyDescent="0.25">
      <c r="A18" t="s">
        <v>101</v>
      </c>
      <c r="B18" s="2" t="s">
        <v>102</v>
      </c>
      <c r="C18" t="s">
        <v>37</v>
      </c>
      <c r="D18" t="s">
        <v>39</v>
      </c>
      <c r="E18" s="1" t="s">
        <v>34</v>
      </c>
      <c r="F18" s="3" t="s">
        <v>80</v>
      </c>
      <c r="G18">
        <v>46</v>
      </c>
      <c r="H18">
        <v>5</v>
      </c>
      <c r="I18">
        <v>143</v>
      </c>
      <c r="J18">
        <f t="shared" si="0"/>
        <v>715</v>
      </c>
    </row>
    <row r="19" spans="1:10" x14ac:dyDescent="0.25">
      <c r="A19" t="s">
        <v>101</v>
      </c>
      <c r="B19" s="2" t="s">
        <v>102</v>
      </c>
      <c r="C19" t="s">
        <v>37</v>
      </c>
      <c r="D19" t="s">
        <v>40</v>
      </c>
      <c r="E19" s="1" t="s">
        <v>34</v>
      </c>
      <c r="F19" s="3" t="s">
        <v>81</v>
      </c>
      <c r="G19">
        <v>46</v>
      </c>
      <c r="H19">
        <v>5</v>
      </c>
      <c r="I19">
        <v>345</v>
      </c>
      <c r="J19">
        <f t="shared" si="0"/>
        <v>1725</v>
      </c>
    </row>
    <row r="20" spans="1:10" x14ac:dyDescent="0.25">
      <c r="A20" t="s">
        <v>101</v>
      </c>
      <c r="B20" s="2" t="s">
        <v>102</v>
      </c>
      <c r="C20" t="s">
        <v>37</v>
      </c>
      <c r="D20" t="s">
        <v>41</v>
      </c>
      <c r="E20" s="1" t="s">
        <v>34</v>
      </c>
      <c r="F20" s="3" t="s">
        <v>82</v>
      </c>
      <c r="G20">
        <v>46</v>
      </c>
      <c r="H20">
        <v>5</v>
      </c>
      <c r="I20">
        <v>2343</v>
      </c>
      <c r="J20">
        <f t="shared" si="0"/>
        <v>11715</v>
      </c>
    </row>
    <row r="21" spans="1:10" x14ac:dyDescent="0.25">
      <c r="A21" t="s">
        <v>101</v>
      </c>
      <c r="B21" s="2" t="s">
        <v>102</v>
      </c>
      <c r="C21" t="s">
        <v>37</v>
      </c>
      <c r="D21" t="s">
        <v>42</v>
      </c>
      <c r="E21" s="1" t="s">
        <v>34</v>
      </c>
      <c r="F21" s="3" t="s">
        <v>83</v>
      </c>
      <c r="G21">
        <v>46</v>
      </c>
      <c r="H21">
        <v>5</v>
      </c>
      <c r="I21">
        <v>3451</v>
      </c>
      <c r="J21">
        <f t="shared" si="0"/>
        <v>17255</v>
      </c>
    </row>
    <row r="22" spans="1:10" x14ac:dyDescent="0.25">
      <c r="A22" t="s">
        <v>101</v>
      </c>
      <c r="B22" s="2" t="s">
        <v>43</v>
      </c>
      <c r="C22" t="s">
        <v>44</v>
      </c>
      <c r="D22" t="s">
        <v>45</v>
      </c>
      <c r="E22" s="1" t="s">
        <v>34</v>
      </c>
      <c r="F22" s="3" t="s">
        <v>84</v>
      </c>
      <c r="G22">
        <v>46</v>
      </c>
      <c r="H22">
        <v>4</v>
      </c>
      <c r="I22">
        <v>451</v>
      </c>
      <c r="J22">
        <f t="shared" si="0"/>
        <v>1804</v>
      </c>
    </row>
    <row r="23" spans="1:10" x14ac:dyDescent="0.25">
      <c r="A23" t="s">
        <v>101</v>
      </c>
      <c r="B23" s="2" t="s">
        <v>103</v>
      </c>
      <c r="C23" t="s">
        <v>44</v>
      </c>
      <c r="D23" t="s">
        <v>46</v>
      </c>
      <c r="E23" s="1" t="s">
        <v>47</v>
      </c>
      <c r="F23" s="3" t="s">
        <v>85</v>
      </c>
      <c r="G23">
        <v>27</v>
      </c>
      <c r="H23">
        <v>4</v>
      </c>
      <c r="I23">
        <v>341</v>
      </c>
      <c r="J23">
        <f t="shared" si="0"/>
        <v>1364</v>
      </c>
    </row>
    <row r="24" spans="1:10" x14ac:dyDescent="0.25">
      <c r="A24" t="s">
        <v>101</v>
      </c>
      <c r="B24" s="2" t="s">
        <v>103</v>
      </c>
      <c r="C24" t="s">
        <v>44</v>
      </c>
      <c r="D24" t="s">
        <v>48</v>
      </c>
      <c r="E24" s="1" t="s">
        <v>47</v>
      </c>
      <c r="F24" s="3" t="s">
        <v>86</v>
      </c>
      <c r="G24">
        <v>27</v>
      </c>
      <c r="H24">
        <v>4</v>
      </c>
      <c r="I24">
        <v>245</v>
      </c>
      <c r="J24">
        <f t="shared" si="0"/>
        <v>980</v>
      </c>
    </row>
    <row r="25" spans="1:10" x14ac:dyDescent="0.25">
      <c r="A25" t="s">
        <v>101</v>
      </c>
      <c r="B25" s="2" t="s">
        <v>103</v>
      </c>
      <c r="C25" t="s">
        <v>44</v>
      </c>
      <c r="D25" t="s">
        <v>49</v>
      </c>
      <c r="E25" s="1" t="s">
        <v>47</v>
      </c>
      <c r="F25" s="3" t="s">
        <v>87</v>
      </c>
      <c r="G25">
        <v>27</v>
      </c>
      <c r="H25">
        <v>4</v>
      </c>
      <c r="I25">
        <v>552</v>
      </c>
      <c r="J25">
        <f t="shared" si="0"/>
        <v>2208</v>
      </c>
    </row>
    <row r="26" spans="1:10" x14ac:dyDescent="0.25">
      <c r="A26" t="s">
        <v>101</v>
      </c>
      <c r="B26" s="2" t="s">
        <v>50</v>
      </c>
      <c r="C26" t="s">
        <v>51</v>
      </c>
      <c r="D26" t="s">
        <v>52</v>
      </c>
      <c r="E26" s="1" t="s">
        <v>47</v>
      </c>
      <c r="F26" s="3" t="s">
        <v>88</v>
      </c>
      <c r="G26">
        <v>27</v>
      </c>
      <c r="H26">
        <v>4</v>
      </c>
      <c r="I26">
        <v>333</v>
      </c>
      <c r="J26">
        <f t="shared" si="0"/>
        <v>1332</v>
      </c>
    </row>
    <row r="27" spans="1:10" x14ac:dyDescent="0.25">
      <c r="A27" t="s">
        <v>101</v>
      </c>
      <c r="B27" s="2" t="s">
        <v>104</v>
      </c>
      <c r="C27" t="s">
        <v>51</v>
      </c>
      <c r="D27" t="s">
        <v>53</v>
      </c>
      <c r="E27" s="1" t="s">
        <v>47</v>
      </c>
      <c r="F27" s="3" t="s">
        <v>89</v>
      </c>
      <c r="G27">
        <v>27</v>
      </c>
      <c r="H27">
        <v>4</v>
      </c>
      <c r="I27">
        <v>55</v>
      </c>
      <c r="J27">
        <f t="shared" si="0"/>
        <v>220</v>
      </c>
    </row>
    <row r="28" spans="1:10" x14ac:dyDescent="0.25">
      <c r="A28" t="s">
        <v>101</v>
      </c>
      <c r="B28" s="2" t="s">
        <v>104</v>
      </c>
      <c r="C28" t="s">
        <v>51</v>
      </c>
      <c r="D28" t="s">
        <v>54</v>
      </c>
      <c r="E28" s="1" t="s">
        <v>47</v>
      </c>
      <c r="F28" s="3" t="s">
        <v>90</v>
      </c>
      <c r="G28">
        <v>27</v>
      </c>
      <c r="H28">
        <v>4</v>
      </c>
      <c r="I28">
        <v>3352</v>
      </c>
      <c r="J28">
        <f t="shared" si="0"/>
        <v>13408</v>
      </c>
    </row>
    <row r="29" spans="1:10" x14ac:dyDescent="0.25">
      <c r="A29" t="s">
        <v>101</v>
      </c>
      <c r="B29" s="2" t="s">
        <v>104</v>
      </c>
      <c r="C29" t="s">
        <v>51</v>
      </c>
      <c r="D29" t="s">
        <v>55</v>
      </c>
      <c r="E29" s="1" t="s">
        <v>47</v>
      </c>
      <c r="F29" s="3" t="s">
        <v>91</v>
      </c>
      <c r="G29">
        <v>27</v>
      </c>
      <c r="H29">
        <v>4</v>
      </c>
      <c r="I29">
        <v>3331</v>
      </c>
      <c r="J29">
        <f t="shared" si="0"/>
        <v>13324</v>
      </c>
    </row>
    <row r="30" spans="1:10" x14ac:dyDescent="0.25">
      <c r="A30" t="s">
        <v>101</v>
      </c>
      <c r="B30" s="2" t="s">
        <v>56</v>
      </c>
      <c r="C30" t="s">
        <v>92</v>
      </c>
      <c r="D30" t="s">
        <v>57</v>
      </c>
      <c r="E30" s="1" t="s">
        <v>47</v>
      </c>
      <c r="F30" s="3" t="s">
        <v>93</v>
      </c>
      <c r="G30">
        <v>27</v>
      </c>
      <c r="H30">
        <v>4</v>
      </c>
      <c r="I30">
        <v>345</v>
      </c>
      <c r="J30">
        <f t="shared" si="0"/>
        <v>1380</v>
      </c>
    </row>
    <row r="31" spans="1:10" x14ac:dyDescent="0.25">
      <c r="A31" t="s">
        <v>101</v>
      </c>
      <c r="B31" s="2" t="s">
        <v>105</v>
      </c>
      <c r="C31" t="s">
        <v>92</v>
      </c>
      <c r="D31" t="s">
        <v>58</v>
      </c>
      <c r="E31" s="1" t="s">
        <v>47</v>
      </c>
      <c r="F31" s="3" t="s">
        <v>94</v>
      </c>
      <c r="G31">
        <v>14</v>
      </c>
      <c r="H31">
        <v>4</v>
      </c>
      <c r="I31">
        <v>444</v>
      </c>
      <c r="J31">
        <f t="shared" si="0"/>
        <v>1776</v>
      </c>
    </row>
    <row r="32" spans="1:10" x14ac:dyDescent="0.25">
      <c r="A32" t="s">
        <v>101</v>
      </c>
      <c r="B32" s="2" t="s">
        <v>105</v>
      </c>
      <c r="C32" t="s">
        <v>92</v>
      </c>
      <c r="D32" t="s">
        <v>59</v>
      </c>
      <c r="E32" s="4">
        <v>43104</v>
      </c>
      <c r="F32" s="3" t="s">
        <v>95</v>
      </c>
      <c r="G32">
        <v>14</v>
      </c>
      <c r="H32">
        <v>4</v>
      </c>
      <c r="I32">
        <v>24</v>
      </c>
      <c r="J32">
        <f t="shared" si="0"/>
        <v>96</v>
      </c>
    </row>
    <row r="33" spans="2:2" x14ac:dyDescent="0.25">
      <c r="B33" s="2"/>
    </row>
    <row r="34" spans="2:2" x14ac:dyDescent="0.25">
      <c r="B34" s="2"/>
    </row>
    <row r="35" spans="2:2" x14ac:dyDescent="0.25">
      <c r="B35" s="2"/>
    </row>
    <row r="36" spans="2:2" x14ac:dyDescent="0.25">
      <c r="B36" s="2"/>
    </row>
    <row r="37" spans="2:2" x14ac:dyDescent="0.25">
      <c r="B37" s="2"/>
    </row>
    <row r="38" spans="2:2" x14ac:dyDescent="0.25">
      <c r="B38" s="2"/>
    </row>
    <row r="39" spans="2:2" x14ac:dyDescent="0.25">
      <c r="B39" s="2"/>
    </row>
    <row r="40" spans="2:2" x14ac:dyDescent="0.25">
      <c r="B40" s="2"/>
    </row>
    <row r="41" spans="2:2" x14ac:dyDescent="0.25">
      <c r="B41" s="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7F416-0EA9-405A-B236-FEA74411F4E3}">
  <dimension ref="A1:J32"/>
  <sheetViews>
    <sheetView workbookViewId="0">
      <selection activeCell="J2" sqref="J2"/>
    </sheetView>
  </sheetViews>
  <sheetFormatPr defaultRowHeight="14.4" x14ac:dyDescent="0.25"/>
  <cols>
    <col min="2" max="2" width="16.109375" bestFit="1" customWidth="1"/>
    <col min="4" max="4" width="16.109375" bestFit="1" customWidth="1"/>
    <col min="6" max="6" width="19.33203125" bestFit="1" customWidth="1"/>
  </cols>
  <sheetData>
    <row r="1" spans="1:10" x14ac:dyDescent="0.25">
      <c r="A1" t="s">
        <v>0</v>
      </c>
      <c r="B1" s="5" t="s">
        <v>96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9</v>
      </c>
      <c r="B2" s="2" t="s">
        <v>10</v>
      </c>
      <c r="C2" t="s">
        <v>11</v>
      </c>
      <c r="D2" t="s">
        <v>12</v>
      </c>
      <c r="E2" s="1" t="s">
        <v>13</v>
      </c>
      <c r="F2" s="3" t="s">
        <v>60</v>
      </c>
      <c r="G2">
        <v>28</v>
      </c>
      <c r="H2">
        <v>5</v>
      </c>
      <c r="I2">
        <v>300</v>
      </c>
      <c r="J2">
        <f t="shared" ref="J2:J32" si="0">H2*I2</f>
        <v>1500</v>
      </c>
    </row>
    <row r="3" spans="1:10" x14ac:dyDescent="0.25">
      <c r="A3" t="s">
        <v>97</v>
      </c>
      <c r="B3" s="2" t="s">
        <v>14</v>
      </c>
      <c r="C3" t="s">
        <v>11</v>
      </c>
      <c r="D3" t="s">
        <v>15</v>
      </c>
      <c r="E3" s="1" t="s">
        <v>13</v>
      </c>
      <c r="F3" s="3" t="s">
        <v>61</v>
      </c>
      <c r="G3">
        <v>28</v>
      </c>
      <c r="H3">
        <v>5</v>
      </c>
      <c r="I3">
        <v>200</v>
      </c>
      <c r="J3">
        <f t="shared" si="0"/>
        <v>1000</v>
      </c>
    </row>
    <row r="4" spans="1:10" x14ac:dyDescent="0.25">
      <c r="A4" t="s">
        <v>97</v>
      </c>
      <c r="B4" s="2" t="s">
        <v>16</v>
      </c>
      <c r="C4" t="s">
        <v>11</v>
      </c>
      <c r="D4" t="s">
        <v>62</v>
      </c>
      <c r="E4" s="1" t="s">
        <v>13</v>
      </c>
      <c r="F4" s="3" t="s">
        <v>63</v>
      </c>
      <c r="G4">
        <v>28</v>
      </c>
      <c r="H4">
        <v>5</v>
      </c>
      <c r="I4">
        <v>100</v>
      </c>
      <c r="J4">
        <f t="shared" si="0"/>
        <v>500</v>
      </c>
    </row>
    <row r="5" spans="1:10" x14ac:dyDescent="0.25">
      <c r="A5" t="s">
        <v>97</v>
      </c>
      <c r="B5" s="2" t="s">
        <v>17</v>
      </c>
      <c r="C5" t="s">
        <v>11</v>
      </c>
      <c r="D5" t="s">
        <v>18</v>
      </c>
      <c r="E5" s="1" t="s">
        <v>13</v>
      </c>
      <c r="F5" s="3" t="s">
        <v>64</v>
      </c>
      <c r="G5">
        <v>28</v>
      </c>
      <c r="H5">
        <v>5</v>
      </c>
      <c r="I5">
        <v>300</v>
      </c>
      <c r="J5">
        <f t="shared" si="0"/>
        <v>1500</v>
      </c>
    </row>
    <row r="6" spans="1:10" x14ac:dyDescent="0.25">
      <c r="A6" t="s">
        <v>97</v>
      </c>
      <c r="B6" s="2" t="s">
        <v>98</v>
      </c>
      <c r="C6" t="s">
        <v>11</v>
      </c>
      <c r="D6" t="s">
        <v>19</v>
      </c>
      <c r="E6" s="1" t="s">
        <v>13</v>
      </c>
      <c r="F6" s="3" t="s">
        <v>65</v>
      </c>
      <c r="G6">
        <v>28</v>
      </c>
      <c r="H6">
        <v>5</v>
      </c>
      <c r="I6">
        <v>1000</v>
      </c>
      <c r="J6">
        <f t="shared" si="0"/>
        <v>5000</v>
      </c>
    </row>
    <row r="7" spans="1:10" x14ac:dyDescent="0.25">
      <c r="A7" t="s">
        <v>97</v>
      </c>
      <c r="B7" s="2" t="s">
        <v>98</v>
      </c>
      <c r="C7" t="s">
        <v>66</v>
      </c>
      <c r="D7" t="s">
        <v>20</v>
      </c>
      <c r="E7" s="1" t="s">
        <v>13</v>
      </c>
      <c r="F7" s="3" t="s">
        <v>67</v>
      </c>
      <c r="G7">
        <v>28</v>
      </c>
      <c r="H7">
        <v>4</v>
      </c>
      <c r="I7">
        <v>600</v>
      </c>
      <c r="J7">
        <f t="shared" si="0"/>
        <v>2400</v>
      </c>
    </row>
    <row r="8" spans="1:10" x14ac:dyDescent="0.25">
      <c r="A8" t="s">
        <v>97</v>
      </c>
      <c r="B8" s="2" t="s">
        <v>98</v>
      </c>
      <c r="C8" t="s">
        <v>66</v>
      </c>
      <c r="D8" t="s">
        <v>21</v>
      </c>
      <c r="E8" s="1" t="s">
        <v>13</v>
      </c>
      <c r="F8" s="3" t="s">
        <v>68</v>
      </c>
      <c r="G8">
        <v>28</v>
      </c>
      <c r="H8">
        <v>4</v>
      </c>
      <c r="I8">
        <v>66</v>
      </c>
      <c r="J8">
        <f t="shared" si="0"/>
        <v>264</v>
      </c>
    </row>
    <row r="9" spans="1:10" x14ac:dyDescent="0.25">
      <c r="A9" t="s">
        <v>22</v>
      </c>
      <c r="B9" s="2" t="s">
        <v>23</v>
      </c>
      <c r="C9" t="s">
        <v>24</v>
      </c>
      <c r="D9" t="s">
        <v>25</v>
      </c>
      <c r="E9" s="4">
        <v>43222</v>
      </c>
      <c r="F9" s="3" t="s">
        <v>69</v>
      </c>
      <c r="G9">
        <v>28</v>
      </c>
      <c r="H9">
        <v>4</v>
      </c>
      <c r="I9">
        <v>59</v>
      </c>
      <c r="J9">
        <f t="shared" si="0"/>
        <v>236</v>
      </c>
    </row>
    <row r="10" spans="1:10" x14ac:dyDescent="0.25">
      <c r="A10" t="s">
        <v>99</v>
      </c>
      <c r="B10" s="2" t="s">
        <v>100</v>
      </c>
      <c r="C10" t="s">
        <v>24</v>
      </c>
      <c r="D10" t="s">
        <v>26</v>
      </c>
      <c r="E10" s="4">
        <v>43222</v>
      </c>
      <c r="F10" s="3" t="s">
        <v>70</v>
      </c>
      <c r="G10">
        <v>28</v>
      </c>
      <c r="H10">
        <v>4</v>
      </c>
      <c r="I10">
        <v>2000</v>
      </c>
      <c r="J10">
        <f t="shared" si="0"/>
        <v>8000</v>
      </c>
    </row>
    <row r="11" spans="1:10" x14ac:dyDescent="0.25">
      <c r="A11" t="s">
        <v>99</v>
      </c>
      <c r="B11" s="2" t="s">
        <v>100</v>
      </c>
      <c r="C11" t="s">
        <v>24</v>
      </c>
      <c r="D11" t="s">
        <v>27</v>
      </c>
      <c r="E11" s="4">
        <v>43222</v>
      </c>
      <c r="F11" s="3" t="s">
        <v>71</v>
      </c>
      <c r="G11">
        <v>28</v>
      </c>
      <c r="H11">
        <v>4</v>
      </c>
      <c r="I11">
        <v>389</v>
      </c>
      <c r="J11">
        <f t="shared" si="0"/>
        <v>1556</v>
      </c>
    </row>
    <row r="12" spans="1:10" x14ac:dyDescent="0.25">
      <c r="A12" t="s">
        <v>99</v>
      </c>
      <c r="B12" s="2" t="s">
        <v>100</v>
      </c>
      <c r="C12" t="s">
        <v>28</v>
      </c>
      <c r="D12" t="s">
        <v>29</v>
      </c>
      <c r="E12" s="4">
        <v>43222</v>
      </c>
      <c r="F12" s="3" t="s">
        <v>72</v>
      </c>
      <c r="G12">
        <v>28</v>
      </c>
      <c r="H12">
        <v>4</v>
      </c>
      <c r="I12">
        <v>388</v>
      </c>
      <c r="J12">
        <f t="shared" si="0"/>
        <v>1552</v>
      </c>
    </row>
    <row r="13" spans="1:10" x14ac:dyDescent="0.25">
      <c r="A13" t="s">
        <v>99</v>
      </c>
      <c r="B13" s="2" t="s">
        <v>100</v>
      </c>
      <c r="C13" t="s">
        <v>28</v>
      </c>
      <c r="D13" t="s">
        <v>30</v>
      </c>
      <c r="E13" s="4">
        <v>43222</v>
      </c>
      <c r="F13" s="3" t="s">
        <v>73</v>
      </c>
      <c r="G13">
        <v>28</v>
      </c>
      <c r="H13">
        <v>4</v>
      </c>
      <c r="I13">
        <v>290</v>
      </c>
      <c r="J13">
        <f t="shared" si="0"/>
        <v>1160</v>
      </c>
    </row>
    <row r="14" spans="1:10" x14ac:dyDescent="0.25">
      <c r="A14" t="s">
        <v>99</v>
      </c>
      <c r="B14" s="2" t="s">
        <v>100</v>
      </c>
      <c r="C14" t="s">
        <v>24</v>
      </c>
      <c r="D14" t="s">
        <v>27</v>
      </c>
      <c r="E14" s="4">
        <v>43222</v>
      </c>
      <c r="F14" s="3" t="s">
        <v>71</v>
      </c>
      <c r="G14">
        <v>28</v>
      </c>
      <c r="H14">
        <v>4</v>
      </c>
      <c r="I14">
        <v>389</v>
      </c>
      <c r="J14">
        <f t="shared" si="0"/>
        <v>1556</v>
      </c>
    </row>
    <row r="15" spans="1:10" x14ac:dyDescent="0.25">
      <c r="A15" t="s">
        <v>99</v>
      </c>
      <c r="B15" s="2" t="s">
        <v>100</v>
      </c>
      <c r="C15" t="s">
        <v>28</v>
      </c>
      <c r="D15" t="s">
        <v>31</v>
      </c>
      <c r="E15" s="4">
        <v>43222</v>
      </c>
      <c r="F15" s="3" t="s">
        <v>77</v>
      </c>
      <c r="G15">
        <v>46</v>
      </c>
      <c r="H15">
        <v>4</v>
      </c>
      <c r="I15">
        <v>5888</v>
      </c>
      <c r="J15">
        <f t="shared" si="0"/>
        <v>23552</v>
      </c>
    </row>
    <row r="16" spans="1:10" x14ac:dyDescent="0.25">
      <c r="A16" t="s">
        <v>99</v>
      </c>
      <c r="B16" s="2" t="s">
        <v>32</v>
      </c>
      <c r="C16" t="s">
        <v>74</v>
      </c>
      <c r="D16" t="s">
        <v>33</v>
      </c>
      <c r="E16" s="1" t="s">
        <v>34</v>
      </c>
      <c r="F16" s="3" t="s">
        <v>78</v>
      </c>
      <c r="G16">
        <v>46</v>
      </c>
      <c r="H16">
        <v>4</v>
      </c>
      <c r="I16">
        <v>5677</v>
      </c>
      <c r="J16">
        <f t="shared" si="0"/>
        <v>22708</v>
      </c>
    </row>
    <row r="17" spans="1:10" x14ac:dyDescent="0.25">
      <c r="A17" t="s">
        <v>35</v>
      </c>
      <c r="B17" s="2" t="s">
        <v>36</v>
      </c>
      <c r="C17" t="s">
        <v>37</v>
      </c>
      <c r="D17" t="s">
        <v>38</v>
      </c>
      <c r="E17" s="1" t="s">
        <v>34</v>
      </c>
      <c r="F17" s="3" t="s">
        <v>79</v>
      </c>
      <c r="G17">
        <v>46</v>
      </c>
      <c r="H17">
        <v>5</v>
      </c>
      <c r="I17">
        <v>1345</v>
      </c>
      <c r="J17">
        <f t="shared" si="0"/>
        <v>6725</v>
      </c>
    </row>
    <row r="18" spans="1:10" x14ac:dyDescent="0.25">
      <c r="A18" t="s">
        <v>101</v>
      </c>
      <c r="B18" s="2" t="s">
        <v>102</v>
      </c>
      <c r="C18" t="s">
        <v>37</v>
      </c>
      <c r="D18" t="s">
        <v>39</v>
      </c>
      <c r="E18" s="1" t="s">
        <v>34</v>
      </c>
      <c r="F18" s="3" t="s">
        <v>80</v>
      </c>
      <c r="G18">
        <v>46</v>
      </c>
      <c r="H18">
        <v>5</v>
      </c>
      <c r="I18">
        <v>143</v>
      </c>
      <c r="J18">
        <f t="shared" si="0"/>
        <v>715</v>
      </c>
    </row>
    <row r="19" spans="1:10" x14ac:dyDescent="0.25">
      <c r="A19" t="s">
        <v>101</v>
      </c>
      <c r="B19" s="2" t="s">
        <v>102</v>
      </c>
      <c r="C19" t="s">
        <v>37</v>
      </c>
      <c r="D19" t="s">
        <v>40</v>
      </c>
      <c r="E19" s="1" t="s">
        <v>34</v>
      </c>
      <c r="F19" s="3" t="s">
        <v>81</v>
      </c>
      <c r="G19">
        <v>46</v>
      </c>
      <c r="H19">
        <v>5</v>
      </c>
      <c r="I19">
        <v>345</v>
      </c>
      <c r="J19">
        <f t="shared" si="0"/>
        <v>1725</v>
      </c>
    </row>
    <row r="20" spans="1:10" x14ac:dyDescent="0.25">
      <c r="A20" t="s">
        <v>101</v>
      </c>
      <c r="B20" s="2" t="s">
        <v>102</v>
      </c>
      <c r="C20" t="s">
        <v>37</v>
      </c>
      <c r="D20" t="s">
        <v>41</v>
      </c>
      <c r="E20" s="1" t="s">
        <v>34</v>
      </c>
      <c r="F20" s="3" t="s">
        <v>82</v>
      </c>
      <c r="G20">
        <v>46</v>
      </c>
      <c r="H20">
        <v>5</v>
      </c>
      <c r="I20">
        <v>2343</v>
      </c>
      <c r="J20">
        <f t="shared" si="0"/>
        <v>11715</v>
      </c>
    </row>
    <row r="21" spans="1:10" x14ac:dyDescent="0.25">
      <c r="A21" t="s">
        <v>101</v>
      </c>
      <c r="B21" s="2" t="s">
        <v>102</v>
      </c>
      <c r="C21" t="s">
        <v>37</v>
      </c>
      <c r="D21" t="s">
        <v>42</v>
      </c>
      <c r="E21" s="1" t="s">
        <v>34</v>
      </c>
      <c r="F21" s="3" t="s">
        <v>83</v>
      </c>
      <c r="G21">
        <v>46</v>
      </c>
      <c r="H21">
        <v>5</v>
      </c>
      <c r="I21">
        <v>3451</v>
      </c>
      <c r="J21">
        <f t="shared" si="0"/>
        <v>17255</v>
      </c>
    </row>
    <row r="22" spans="1:10" x14ac:dyDescent="0.25">
      <c r="A22" t="s">
        <v>101</v>
      </c>
      <c r="B22" s="2" t="s">
        <v>43</v>
      </c>
      <c r="C22" t="s">
        <v>44</v>
      </c>
      <c r="D22" t="s">
        <v>45</v>
      </c>
      <c r="E22" s="1" t="s">
        <v>34</v>
      </c>
      <c r="F22" s="3" t="s">
        <v>84</v>
      </c>
      <c r="G22">
        <v>46</v>
      </c>
      <c r="H22">
        <v>4</v>
      </c>
      <c r="I22">
        <v>451</v>
      </c>
      <c r="J22">
        <f t="shared" si="0"/>
        <v>1804</v>
      </c>
    </row>
    <row r="23" spans="1:10" x14ac:dyDescent="0.25">
      <c r="A23" t="s">
        <v>101</v>
      </c>
      <c r="B23" s="2" t="s">
        <v>103</v>
      </c>
      <c r="C23" t="s">
        <v>44</v>
      </c>
      <c r="D23" t="s">
        <v>46</v>
      </c>
      <c r="E23" s="1" t="s">
        <v>47</v>
      </c>
      <c r="F23" s="3" t="s">
        <v>85</v>
      </c>
      <c r="G23">
        <v>27</v>
      </c>
      <c r="H23">
        <v>4</v>
      </c>
      <c r="I23">
        <v>341</v>
      </c>
      <c r="J23">
        <f t="shared" si="0"/>
        <v>1364</v>
      </c>
    </row>
    <row r="24" spans="1:10" x14ac:dyDescent="0.25">
      <c r="A24" t="s">
        <v>101</v>
      </c>
      <c r="B24" s="2" t="s">
        <v>103</v>
      </c>
      <c r="C24" t="s">
        <v>44</v>
      </c>
      <c r="D24" t="s">
        <v>48</v>
      </c>
      <c r="E24" s="1" t="s">
        <v>47</v>
      </c>
      <c r="F24" s="3" t="s">
        <v>86</v>
      </c>
      <c r="G24">
        <v>27</v>
      </c>
      <c r="H24">
        <v>4</v>
      </c>
      <c r="I24">
        <v>245</v>
      </c>
      <c r="J24">
        <f t="shared" si="0"/>
        <v>980</v>
      </c>
    </row>
    <row r="25" spans="1:10" x14ac:dyDescent="0.25">
      <c r="A25" t="s">
        <v>101</v>
      </c>
      <c r="B25" s="2" t="s">
        <v>103</v>
      </c>
      <c r="C25" t="s">
        <v>44</v>
      </c>
      <c r="D25" t="s">
        <v>49</v>
      </c>
      <c r="E25" s="1" t="s">
        <v>47</v>
      </c>
      <c r="F25" s="3" t="s">
        <v>87</v>
      </c>
      <c r="G25">
        <v>27</v>
      </c>
      <c r="H25">
        <v>4</v>
      </c>
      <c r="I25">
        <v>552</v>
      </c>
      <c r="J25">
        <f t="shared" si="0"/>
        <v>2208</v>
      </c>
    </row>
    <row r="26" spans="1:10" x14ac:dyDescent="0.25">
      <c r="A26" t="s">
        <v>101</v>
      </c>
      <c r="B26" s="2" t="s">
        <v>50</v>
      </c>
      <c r="C26" t="s">
        <v>51</v>
      </c>
      <c r="D26" t="s">
        <v>52</v>
      </c>
      <c r="E26" s="1" t="s">
        <v>47</v>
      </c>
      <c r="F26" s="3" t="s">
        <v>88</v>
      </c>
      <c r="G26">
        <v>27</v>
      </c>
      <c r="H26">
        <v>4</v>
      </c>
      <c r="I26">
        <v>333</v>
      </c>
      <c r="J26">
        <f t="shared" si="0"/>
        <v>1332</v>
      </c>
    </row>
    <row r="27" spans="1:10" x14ac:dyDescent="0.25">
      <c r="A27" t="s">
        <v>101</v>
      </c>
      <c r="B27" s="2" t="s">
        <v>104</v>
      </c>
      <c r="C27" t="s">
        <v>51</v>
      </c>
      <c r="D27" t="s">
        <v>53</v>
      </c>
      <c r="E27" s="1" t="s">
        <v>47</v>
      </c>
      <c r="F27" s="3" t="s">
        <v>89</v>
      </c>
      <c r="G27">
        <v>27</v>
      </c>
      <c r="H27">
        <v>4</v>
      </c>
      <c r="I27">
        <v>55</v>
      </c>
      <c r="J27">
        <f t="shared" si="0"/>
        <v>220</v>
      </c>
    </row>
    <row r="28" spans="1:10" x14ac:dyDescent="0.25">
      <c r="A28" t="s">
        <v>101</v>
      </c>
      <c r="B28" s="2" t="s">
        <v>104</v>
      </c>
      <c r="C28" t="s">
        <v>51</v>
      </c>
      <c r="D28" t="s">
        <v>54</v>
      </c>
      <c r="E28" s="1" t="s">
        <v>47</v>
      </c>
      <c r="F28" s="3" t="s">
        <v>90</v>
      </c>
      <c r="G28">
        <v>27</v>
      </c>
      <c r="H28">
        <v>4</v>
      </c>
      <c r="I28">
        <v>3352</v>
      </c>
      <c r="J28">
        <f t="shared" si="0"/>
        <v>13408</v>
      </c>
    </row>
    <row r="29" spans="1:10" x14ac:dyDescent="0.25">
      <c r="A29" t="s">
        <v>101</v>
      </c>
      <c r="B29" s="2" t="s">
        <v>104</v>
      </c>
      <c r="C29" t="s">
        <v>51</v>
      </c>
      <c r="D29" t="s">
        <v>55</v>
      </c>
      <c r="E29" s="1" t="s">
        <v>47</v>
      </c>
      <c r="F29" s="3" t="s">
        <v>91</v>
      </c>
      <c r="G29">
        <v>27</v>
      </c>
      <c r="H29">
        <v>4</v>
      </c>
      <c r="I29">
        <v>3331</v>
      </c>
      <c r="J29">
        <f t="shared" si="0"/>
        <v>13324</v>
      </c>
    </row>
    <row r="30" spans="1:10" x14ac:dyDescent="0.25">
      <c r="A30" t="s">
        <v>101</v>
      </c>
      <c r="B30" s="2" t="s">
        <v>56</v>
      </c>
      <c r="C30" t="s">
        <v>92</v>
      </c>
      <c r="D30" t="s">
        <v>57</v>
      </c>
      <c r="E30" s="1" t="s">
        <v>47</v>
      </c>
      <c r="F30" s="3" t="s">
        <v>93</v>
      </c>
      <c r="G30">
        <v>27</v>
      </c>
      <c r="H30">
        <v>4</v>
      </c>
      <c r="I30">
        <v>345</v>
      </c>
      <c r="J30">
        <f t="shared" si="0"/>
        <v>1380</v>
      </c>
    </row>
    <row r="31" spans="1:10" x14ac:dyDescent="0.25">
      <c r="A31" t="s">
        <v>101</v>
      </c>
      <c r="B31" s="2" t="s">
        <v>105</v>
      </c>
      <c r="C31" t="s">
        <v>92</v>
      </c>
      <c r="D31" t="s">
        <v>58</v>
      </c>
      <c r="E31" s="1" t="s">
        <v>47</v>
      </c>
      <c r="F31" s="3" t="s">
        <v>94</v>
      </c>
      <c r="G31">
        <v>14</v>
      </c>
      <c r="H31">
        <v>4</v>
      </c>
      <c r="I31">
        <v>444</v>
      </c>
      <c r="J31">
        <f t="shared" si="0"/>
        <v>1776</v>
      </c>
    </row>
    <row r="32" spans="1:10" x14ac:dyDescent="0.25">
      <c r="A32" t="s">
        <v>101</v>
      </c>
      <c r="B32" s="2" t="s">
        <v>105</v>
      </c>
      <c r="C32" t="s">
        <v>92</v>
      </c>
      <c r="D32" t="s">
        <v>59</v>
      </c>
      <c r="E32" s="4">
        <v>43104</v>
      </c>
      <c r="F32" s="3" t="s">
        <v>95</v>
      </c>
      <c r="G32">
        <v>14</v>
      </c>
      <c r="H32">
        <v>4</v>
      </c>
      <c r="I32">
        <v>24</v>
      </c>
      <c r="J32">
        <f t="shared" si="0"/>
        <v>96</v>
      </c>
    </row>
  </sheetData>
  <phoneticPr fontId="1" type="noConversion"/>
  <conditionalFormatting sqref="I1:I3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{E88C5FBA-2E35-4038-97EF-EF1613983D5B}</x14:id>
        </ext>
      </extLst>
    </cfRule>
  </conditionalFormatting>
  <conditionalFormatting sqref="J1:J3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8C5FBA-2E35-4038-97EF-EF1613983D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I1:I32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4826E-1A03-464A-81D9-C7332DF0FACB}">
  <dimension ref="A1:F21"/>
  <sheetViews>
    <sheetView showGridLines="0" tabSelected="1" topLeftCell="A22" workbookViewId="0">
      <selection activeCell="O36" sqref="O36"/>
    </sheetView>
  </sheetViews>
  <sheetFormatPr defaultRowHeight="14.4" x14ac:dyDescent="0.25"/>
  <cols>
    <col min="2" max="2" width="11.77734375" customWidth="1"/>
    <col min="3" max="3" width="12.44140625" customWidth="1"/>
    <col min="4" max="4" width="17.88671875" customWidth="1"/>
    <col min="5" max="5" width="17.77734375" customWidth="1"/>
  </cols>
  <sheetData>
    <row r="1" spans="1:6" x14ac:dyDescent="0.25">
      <c r="A1" t="s">
        <v>106</v>
      </c>
      <c r="B1" t="s">
        <v>107</v>
      </c>
      <c r="C1" t="s">
        <v>108</v>
      </c>
      <c r="E1" t="s">
        <v>110</v>
      </c>
      <c r="F1" t="s">
        <v>109</v>
      </c>
    </row>
    <row r="2" spans="1:6" x14ac:dyDescent="0.25">
      <c r="A2">
        <v>1</v>
      </c>
      <c r="B2" t="s">
        <v>111</v>
      </c>
      <c r="C2" t="s">
        <v>131</v>
      </c>
      <c r="E2">
        <v>5600</v>
      </c>
      <c r="F2">
        <v>3500</v>
      </c>
    </row>
    <row r="3" spans="1:6" x14ac:dyDescent="0.25">
      <c r="A3">
        <v>2</v>
      </c>
      <c r="B3" t="s">
        <v>112</v>
      </c>
      <c r="C3" t="s">
        <v>131</v>
      </c>
      <c r="E3">
        <v>4500</v>
      </c>
      <c r="F3">
        <v>3500</v>
      </c>
    </row>
    <row r="4" spans="1:6" x14ac:dyDescent="0.25">
      <c r="A4">
        <v>3</v>
      </c>
      <c r="B4" t="s">
        <v>113</v>
      </c>
      <c r="C4" t="s">
        <v>131</v>
      </c>
      <c r="E4">
        <v>3400</v>
      </c>
      <c r="F4">
        <v>3500</v>
      </c>
    </row>
    <row r="5" spans="1:6" x14ac:dyDescent="0.25">
      <c r="A5">
        <v>4</v>
      </c>
      <c r="B5" t="s">
        <v>114</v>
      </c>
      <c r="C5" t="s">
        <v>131</v>
      </c>
      <c r="E5">
        <v>6500</v>
      </c>
      <c r="F5">
        <v>3500</v>
      </c>
    </row>
    <row r="6" spans="1:6" x14ac:dyDescent="0.25">
      <c r="A6">
        <v>5</v>
      </c>
      <c r="B6" t="s">
        <v>115</v>
      </c>
      <c r="C6" t="s">
        <v>131</v>
      </c>
      <c r="E6">
        <v>5500</v>
      </c>
      <c r="F6">
        <v>3500</v>
      </c>
    </row>
    <row r="7" spans="1:6" x14ac:dyDescent="0.25">
      <c r="A7">
        <v>6</v>
      </c>
      <c r="B7" t="s">
        <v>116</v>
      </c>
      <c r="C7" t="s">
        <v>131</v>
      </c>
      <c r="E7">
        <v>2250</v>
      </c>
      <c r="F7">
        <v>3500</v>
      </c>
    </row>
    <row r="8" spans="1:6" x14ac:dyDescent="0.25">
      <c r="A8">
        <v>7</v>
      </c>
      <c r="B8" t="s">
        <v>117</v>
      </c>
      <c r="C8" t="s">
        <v>131</v>
      </c>
      <c r="E8">
        <v>6500</v>
      </c>
      <c r="F8">
        <v>3500</v>
      </c>
    </row>
    <row r="9" spans="1:6" x14ac:dyDescent="0.25">
      <c r="A9">
        <v>8</v>
      </c>
      <c r="B9" t="s">
        <v>118</v>
      </c>
      <c r="C9" t="s">
        <v>131</v>
      </c>
      <c r="E9">
        <v>4700</v>
      </c>
      <c r="F9">
        <v>3500</v>
      </c>
    </row>
    <row r="10" spans="1:6" x14ac:dyDescent="0.25">
      <c r="A10">
        <v>9</v>
      </c>
      <c r="B10" t="s">
        <v>119</v>
      </c>
      <c r="C10" t="s">
        <v>132</v>
      </c>
      <c r="E10">
        <v>7800</v>
      </c>
      <c r="F10">
        <v>3500</v>
      </c>
    </row>
    <row r="11" spans="1:6" x14ac:dyDescent="0.25">
      <c r="A11">
        <v>10</v>
      </c>
      <c r="B11" t="s">
        <v>120</v>
      </c>
      <c r="C11" t="s">
        <v>132</v>
      </c>
      <c r="E11">
        <v>3444</v>
      </c>
      <c r="F11">
        <v>3500</v>
      </c>
    </row>
    <row r="12" spans="1:6" x14ac:dyDescent="0.25">
      <c r="A12">
        <v>11</v>
      </c>
      <c r="B12" t="s">
        <v>121</v>
      </c>
      <c r="C12" t="s">
        <v>132</v>
      </c>
      <c r="E12">
        <v>5677</v>
      </c>
      <c r="F12">
        <v>3500</v>
      </c>
    </row>
    <row r="13" spans="1:6" x14ac:dyDescent="0.25">
      <c r="A13">
        <v>12</v>
      </c>
      <c r="B13" t="s">
        <v>122</v>
      </c>
      <c r="C13" t="s">
        <v>132</v>
      </c>
      <c r="E13">
        <v>3336</v>
      </c>
      <c r="F13">
        <v>3500</v>
      </c>
    </row>
    <row r="14" spans="1:6" x14ac:dyDescent="0.25">
      <c r="A14">
        <v>13</v>
      </c>
      <c r="B14" t="s">
        <v>123</v>
      </c>
      <c r="C14" t="s">
        <v>132</v>
      </c>
      <c r="E14">
        <v>5746</v>
      </c>
      <c r="F14">
        <v>3500</v>
      </c>
    </row>
    <row r="15" spans="1:6" x14ac:dyDescent="0.25">
      <c r="A15">
        <v>14</v>
      </c>
      <c r="B15" t="s">
        <v>124</v>
      </c>
      <c r="C15" t="s">
        <v>132</v>
      </c>
      <c r="E15">
        <v>3656</v>
      </c>
      <c r="F15">
        <v>3500</v>
      </c>
    </row>
    <row r="16" spans="1:6" x14ac:dyDescent="0.25">
      <c r="A16">
        <v>15</v>
      </c>
      <c r="B16" t="s">
        <v>125</v>
      </c>
      <c r="C16" t="s">
        <v>132</v>
      </c>
      <c r="E16">
        <v>2344</v>
      </c>
      <c r="F16">
        <v>3500</v>
      </c>
    </row>
    <row r="17" spans="1:6" x14ac:dyDescent="0.25">
      <c r="A17">
        <v>16</v>
      </c>
      <c r="B17" t="s">
        <v>126</v>
      </c>
      <c r="C17" t="s">
        <v>132</v>
      </c>
      <c r="E17">
        <v>9667</v>
      </c>
      <c r="F17">
        <v>3500</v>
      </c>
    </row>
    <row r="18" spans="1:6" x14ac:dyDescent="0.25">
      <c r="A18">
        <v>17</v>
      </c>
      <c r="B18" t="s">
        <v>127</v>
      </c>
      <c r="C18" t="s">
        <v>133</v>
      </c>
      <c r="E18">
        <v>5674</v>
      </c>
      <c r="F18">
        <v>3500</v>
      </c>
    </row>
    <row r="19" spans="1:6" x14ac:dyDescent="0.25">
      <c r="A19">
        <v>18</v>
      </c>
      <c r="B19" t="s">
        <v>128</v>
      </c>
      <c r="C19" t="s">
        <v>133</v>
      </c>
      <c r="E19">
        <v>7468</v>
      </c>
      <c r="F19">
        <v>3500</v>
      </c>
    </row>
    <row r="20" spans="1:6" x14ac:dyDescent="0.25">
      <c r="A20">
        <v>19</v>
      </c>
      <c r="B20" t="s">
        <v>129</v>
      </c>
      <c r="C20" t="s">
        <v>133</v>
      </c>
      <c r="E20">
        <v>4563</v>
      </c>
      <c r="F20">
        <v>3500</v>
      </c>
    </row>
    <row r="21" spans="1:6" x14ac:dyDescent="0.25">
      <c r="A21">
        <v>20</v>
      </c>
      <c r="B21" t="s">
        <v>130</v>
      </c>
      <c r="C21" t="s">
        <v>133</v>
      </c>
      <c r="E21">
        <v>7467</v>
      </c>
      <c r="F21">
        <v>3500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475C2-3D15-4BF3-AFA2-7A83546A2BD4}">
  <dimension ref="A1:F21"/>
  <sheetViews>
    <sheetView workbookViewId="0">
      <selection activeCell="L15" sqref="L15"/>
    </sheetView>
  </sheetViews>
  <sheetFormatPr defaultRowHeight="14.4" x14ac:dyDescent="0.25"/>
  <cols>
    <col min="5" max="5" width="13.88671875" bestFit="1" customWidth="1"/>
  </cols>
  <sheetData>
    <row r="1" spans="1:6" x14ac:dyDescent="0.25">
      <c r="A1" t="s">
        <v>134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</row>
    <row r="2" spans="1:6" x14ac:dyDescent="0.25">
      <c r="A2">
        <v>1</v>
      </c>
      <c r="B2" t="s">
        <v>140</v>
      </c>
      <c r="C2" t="s">
        <v>111</v>
      </c>
      <c r="D2">
        <v>89</v>
      </c>
      <c r="E2" s="6">
        <v>35.71602152977502</v>
      </c>
      <c r="F2">
        <v>42</v>
      </c>
    </row>
    <row r="3" spans="1:6" x14ac:dyDescent="0.25">
      <c r="A3">
        <v>2</v>
      </c>
      <c r="B3" t="s">
        <v>140</v>
      </c>
      <c r="C3" t="s">
        <v>112</v>
      </c>
      <c r="D3">
        <v>67</v>
      </c>
      <c r="E3" s="6">
        <v>47.076626989727487</v>
      </c>
      <c r="F3">
        <v>23</v>
      </c>
    </row>
    <row r="4" spans="1:6" x14ac:dyDescent="0.25">
      <c r="A4">
        <v>3</v>
      </c>
      <c r="B4" t="s">
        <v>140</v>
      </c>
      <c r="C4" t="s">
        <v>113</v>
      </c>
      <c r="D4">
        <v>63</v>
      </c>
      <c r="E4" s="6">
        <v>90.636858214592095</v>
      </c>
      <c r="F4">
        <v>34</v>
      </c>
    </row>
    <row r="5" spans="1:6" x14ac:dyDescent="0.25">
      <c r="A5">
        <v>4</v>
      </c>
      <c r="B5" t="s">
        <v>140</v>
      </c>
      <c r="C5" t="s">
        <v>114</v>
      </c>
      <c r="D5">
        <v>73</v>
      </c>
      <c r="E5" s="6">
        <v>23.94274114310485</v>
      </c>
      <c r="F5">
        <v>81</v>
      </c>
    </row>
    <row r="6" spans="1:6" x14ac:dyDescent="0.25">
      <c r="A6">
        <v>5</v>
      </c>
      <c r="B6" t="s">
        <v>140</v>
      </c>
      <c r="C6" t="s">
        <v>115</v>
      </c>
      <c r="D6">
        <v>64</v>
      </c>
      <c r="E6" s="6">
        <v>96.758481340322703</v>
      </c>
      <c r="F6">
        <v>42</v>
      </c>
    </row>
    <row r="7" spans="1:6" x14ac:dyDescent="0.25">
      <c r="A7">
        <v>6</v>
      </c>
      <c r="B7" t="s">
        <v>140</v>
      </c>
      <c r="C7" t="s">
        <v>116</v>
      </c>
      <c r="D7">
        <v>34</v>
      </c>
      <c r="E7" s="6">
        <v>45.882716715470117</v>
      </c>
      <c r="F7">
        <v>51</v>
      </c>
    </row>
    <row r="8" spans="1:6" x14ac:dyDescent="0.25">
      <c r="A8">
        <v>7</v>
      </c>
      <c r="B8" t="s">
        <v>140</v>
      </c>
      <c r="C8" t="s">
        <v>117</v>
      </c>
      <c r="D8">
        <v>74</v>
      </c>
      <c r="E8" s="6">
        <v>25.069386154648054</v>
      </c>
      <c r="F8">
        <v>71</v>
      </c>
    </row>
    <row r="9" spans="1:6" x14ac:dyDescent="0.25">
      <c r="A9">
        <v>8</v>
      </c>
      <c r="B9" t="s">
        <v>140</v>
      </c>
      <c r="C9" t="s">
        <v>118</v>
      </c>
      <c r="D9">
        <v>73</v>
      </c>
      <c r="E9" s="6">
        <v>30.914902686714129</v>
      </c>
      <c r="F9">
        <v>83</v>
      </c>
    </row>
    <row r="10" spans="1:6" x14ac:dyDescent="0.25">
      <c r="A10">
        <v>9</v>
      </c>
      <c r="B10" t="s">
        <v>140</v>
      </c>
      <c r="C10" t="s">
        <v>119</v>
      </c>
      <c r="D10">
        <v>34</v>
      </c>
      <c r="E10" s="6">
        <v>59.76458760698101</v>
      </c>
      <c r="F10">
        <v>51</v>
      </c>
    </row>
    <row r="11" spans="1:6" x14ac:dyDescent="0.25">
      <c r="A11">
        <v>10</v>
      </c>
      <c r="B11" t="s">
        <v>140</v>
      </c>
      <c r="C11" t="s">
        <v>120</v>
      </c>
      <c r="D11">
        <v>73</v>
      </c>
      <c r="E11" s="6">
        <v>11.659364326465393</v>
      </c>
      <c r="F11">
        <v>84</v>
      </c>
    </row>
    <row r="12" spans="1:6" x14ac:dyDescent="0.25">
      <c r="A12">
        <v>11</v>
      </c>
      <c r="B12" t="s">
        <v>140</v>
      </c>
      <c r="C12" t="s">
        <v>121</v>
      </c>
      <c r="D12">
        <v>56</v>
      </c>
      <c r="E12" s="6">
        <v>91.147475692013003</v>
      </c>
      <c r="F12">
        <v>46</v>
      </c>
    </row>
    <row r="13" spans="1:6" x14ac:dyDescent="0.25">
      <c r="A13">
        <v>12</v>
      </c>
      <c r="B13" t="s">
        <v>140</v>
      </c>
      <c r="C13" t="s">
        <v>122</v>
      </c>
      <c r="D13">
        <v>97</v>
      </c>
      <c r="E13" s="6">
        <v>92.161938744645497</v>
      </c>
      <c r="F13">
        <v>73</v>
      </c>
    </row>
    <row r="14" spans="1:6" x14ac:dyDescent="0.25">
      <c r="A14">
        <v>13</v>
      </c>
      <c r="B14" t="s">
        <v>140</v>
      </c>
      <c r="C14" t="s">
        <v>123</v>
      </c>
      <c r="D14">
        <v>37</v>
      </c>
      <c r="E14" s="6">
        <v>60.585269374922447</v>
      </c>
      <c r="F14">
        <v>73</v>
      </c>
    </row>
    <row r="15" spans="1:6" x14ac:dyDescent="0.25">
      <c r="A15">
        <v>14</v>
      </c>
      <c r="B15" t="s">
        <v>140</v>
      </c>
      <c r="C15" t="s">
        <v>124</v>
      </c>
      <c r="D15">
        <v>35</v>
      </c>
      <c r="E15" s="6">
        <v>69.733778029153299</v>
      </c>
      <c r="F15">
        <v>34</v>
      </c>
    </row>
    <row r="16" spans="1:6" x14ac:dyDescent="0.25">
      <c r="A16">
        <v>15</v>
      </c>
      <c r="B16" t="s">
        <v>140</v>
      </c>
      <c r="C16" t="s">
        <v>125</v>
      </c>
      <c r="D16">
        <v>73</v>
      </c>
      <c r="E16" s="6">
        <v>85.801929635143509</v>
      </c>
      <c r="F16">
        <v>90</v>
      </c>
    </row>
    <row r="17" spans="1:6" x14ac:dyDescent="0.25">
      <c r="A17">
        <v>16</v>
      </c>
      <c r="B17" t="s">
        <v>140</v>
      </c>
      <c r="C17" t="s">
        <v>126</v>
      </c>
      <c r="D17">
        <v>26</v>
      </c>
      <c r="E17" s="6">
        <v>47.86932398898027</v>
      </c>
      <c r="F17">
        <v>86</v>
      </c>
    </row>
    <row r="18" spans="1:6" x14ac:dyDescent="0.25">
      <c r="A18">
        <v>17</v>
      </c>
      <c r="B18" t="s">
        <v>140</v>
      </c>
      <c r="C18" t="s">
        <v>127</v>
      </c>
      <c r="D18">
        <v>73</v>
      </c>
      <c r="E18" s="6">
        <v>33.45497627208924</v>
      </c>
      <c r="F18">
        <v>86</v>
      </c>
    </row>
    <row r="19" spans="1:6" x14ac:dyDescent="0.25">
      <c r="A19">
        <v>18</v>
      </c>
      <c r="B19" t="s">
        <v>140</v>
      </c>
      <c r="C19" t="s">
        <v>128</v>
      </c>
      <c r="D19">
        <v>35</v>
      </c>
      <c r="E19" s="6">
        <v>31.676985345907138</v>
      </c>
      <c r="F19">
        <v>56</v>
      </c>
    </row>
    <row r="20" spans="1:6" x14ac:dyDescent="0.25">
      <c r="A20">
        <v>19</v>
      </c>
      <c r="B20" t="s">
        <v>140</v>
      </c>
      <c r="C20" t="s">
        <v>129</v>
      </c>
      <c r="D20">
        <v>73</v>
      </c>
      <c r="E20" s="6">
        <v>57.732276035255381</v>
      </c>
      <c r="F20">
        <v>78</v>
      </c>
    </row>
    <row r="21" spans="1:6" x14ac:dyDescent="0.25">
      <c r="A21">
        <v>20</v>
      </c>
      <c r="B21" t="s">
        <v>140</v>
      </c>
      <c r="C21" t="s">
        <v>130</v>
      </c>
      <c r="D21">
        <v>40</v>
      </c>
      <c r="E21" s="6">
        <v>10.073354858240757</v>
      </c>
      <c r="F21">
        <v>46</v>
      </c>
    </row>
  </sheetData>
  <phoneticPr fontId="1" type="noConversion"/>
  <conditionalFormatting sqref="D2:F21">
    <cfRule type="cellIs" dxfId="1" priority="1" operator="lessThan">
      <formula>53.53667743</formula>
    </cfRule>
    <cfRule type="cellIs" dxfId="0" priority="2" operator="lessThan">
      <formula>60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6612ED-DACE-486C-80FE-ABA57A55AD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案例一</vt:lpstr>
      <vt:lpstr>Sheet4</vt:lpstr>
      <vt:lpstr>案例二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雅客</dc:creator>
  <cp:lastModifiedBy>世昌 邵</cp:lastModifiedBy>
  <dcterms:created xsi:type="dcterms:W3CDTF">2018-10-01T14:40:44Z</dcterms:created>
  <dcterms:modified xsi:type="dcterms:W3CDTF">2024-11-03T15:24:57Z</dcterms:modified>
</cp:coreProperties>
</file>