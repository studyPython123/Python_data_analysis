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2 excel图表制作练习\"/>
    </mc:Choice>
  </mc:AlternateContent>
  <xr:revisionPtr revIDLastSave="0" documentId="13_ncr:1_{2734224F-E1B3-41E5-AA11-B7F284717D11}" xr6:coauthVersionLast="47" xr6:coauthVersionMax="47" xr10:uidLastSave="{00000000-0000-0000-0000-000000000000}"/>
  <bookViews>
    <workbookView xWindow="-108" yWindow="-108" windowWidth="23256" windowHeight="12456" activeTab="2" xr2:uid="{916E995A-0F87-4126-B585-F782F7F98D86}"/>
  </bookViews>
  <sheets>
    <sheet name="条件格式" sheetId="1" r:id="rId1"/>
    <sheet name="Sheet4" sheetId="4" r:id="rId2"/>
    <sheet name="Sparklines" sheetId="2" r:id="rId3"/>
    <sheet name="REPT函数" sheetId="3" r:id="rId4"/>
  </sheets>
  <externalReferences>
    <externalReference r:id="rId5"/>
  </externalReferences>
  <definedNames>
    <definedName name="SprkR2C3" localSheetId="2">Sparklines!$C$2</definedName>
    <definedName name="SprkR2C4" localSheetId="2">Sparklines!$D$2</definedName>
    <definedName name="SprkR3C3" localSheetId="2">Sparklines!$C$3</definedName>
    <definedName name="SprkR3C4" localSheetId="2">Sparklines!$D$3</definedName>
    <definedName name="SprkR4C3" localSheetId="2">Sparklines!$C$4</definedName>
    <definedName name="SprkR4C4" localSheetId="2">Sparklines!$D$4</definedName>
    <definedName name="SprkR5C3" localSheetId="2">Sparklines!$C$5</definedName>
    <definedName name="SprkR5C4" localSheetId="2">Sparklines!$D$5</definedName>
    <definedName name="SprkR6C3" localSheetId="2">Sparklines!$C$6</definedName>
    <definedName name="SprkR6C4" localSheetId="2">Sparklines!$D$6</definedName>
    <definedName name="SprkR7C3" localSheetId="2">Sparklines!$C$7</definedName>
    <definedName name="SprkR7C4" localSheetId="2">Sparklines!$D$7</definedName>
    <definedName name="SprkR9C1" localSheetId="2">Sparklines!$A$9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2" i="3"/>
  <c r="A9" i="2"/>
  <c r="D3" i="2"/>
  <c r="D6" i="2"/>
  <c r="D7" i="2"/>
  <c r="D4" i="2"/>
  <c r="D5" i="2"/>
  <c r="D2" i="2"/>
  <c r="C3" i="2"/>
  <c r="C4" i="2"/>
  <c r="C5" i="2"/>
  <c r="C6" i="2"/>
  <c r="C7" i="2"/>
  <c r="C2" i="2"/>
  <c r="D3" i="1" l="1"/>
  <c r="D4" i="1"/>
  <c r="D5" i="1"/>
  <c r="D6" i="1"/>
  <c r="D7" i="1"/>
  <c r="D2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<sst xmlns="http://schemas.openxmlformats.org/spreadsheetml/2006/main" count="103" uniqueCount="46">
  <si>
    <t>项目</t>
    <phoneticPr fontId="2" type="noConversion"/>
  </si>
  <si>
    <t>完成率</t>
    <phoneticPr fontId="2" type="noConversion"/>
  </si>
  <si>
    <t>数据表</t>
    <phoneticPr fontId="2" type="noConversion"/>
  </si>
  <si>
    <t>物料采购</t>
    <phoneticPr fontId="2" type="noConversion"/>
  </si>
  <si>
    <t>人员招募</t>
    <phoneticPr fontId="2" type="noConversion"/>
  </si>
  <si>
    <t>文案编辑</t>
    <phoneticPr fontId="2" type="noConversion"/>
  </si>
  <si>
    <t>场地布置</t>
    <phoneticPr fontId="2" type="noConversion"/>
  </si>
  <si>
    <t>嘉宾邀约</t>
    <phoneticPr fontId="2" type="noConversion"/>
  </si>
  <si>
    <t>宣传单制作</t>
    <phoneticPr fontId="2" type="noConversion"/>
  </si>
  <si>
    <t>数据条</t>
    <phoneticPr fontId="2" type="noConversion"/>
  </si>
  <si>
    <t>图标</t>
    <phoneticPr fontId="2" type="noConversion"/>
  </si>
  <si>
    <t>客户经理</t>
    <phoneticPr fontId="2" type="noConversion"/>
  </si>
  <si>
    <t>资产标准化得分</t>
    <phoneticPr fontId="2" type="noConversion"/>
  </si>
  <si>
    <t>图表</t>
    <phoneticPr fontId="2" type="noConversion"/>
  </si>
  <si>
    <t>营销标准化得分</t>
    <phoneticPr fontId="2" type="noConversion"/>
  </si>
  <si>
    <t>个人总得分</t>
    <phoneticPr fontId="2" type="noConversion"/>
  </si>
  <si>
    <t>目标</t>
    <phoneticPr fontId="2" type="noConversion"/>
  </si>
  <si>
    <t>预测</t>
    <phoneticPr fontId="2" type="noConversion"/>
  </si>
  <si>
    <t>客户经理排名表</t>
    <phoneticPr fontId="2" type="noConversion"/>
  </si>
  <si>
    <t>本报表模拟于2018年8月</t>
    <phoneticPr fontId="2" type="noConversion"/>
  </si>
  <si>
    <t>陈大喜</t>
    <phoneticPr fontId="2" type="noConversion"/>
  </si>
  <si>
    <t>黄清亮</t>
    <phoneticPr fontId="2" type="noConversion"/>
  </si>
  <si>
    <t>方正</t>
    <phoneticPr fontId="2" type="noConversion"/>
  </si>
  <si>
    <t>黄廷芳</t>
    <phoneticPr fontId="2" type="noConversion"/>
  </si>
  <si>
    <t>梁淑怡</t>
    <phoneticPr fontId="2" type="noConversion"/>
  </si>
  <si>
    <t>陈家明</t>
    <phoneticPr fontId="2" type="noConversion"/>
  </si>
  <si>
    <t>程潇</t>
    <phoneticPr fontId="2" type="noConversion"/>
  </si>
  <si>
    <t>叶挺英</t>
    <phoneticPr fontId="2" type="noConversion"/>
  </si>
  <si>
    <t>岩正东</t>
    <phoneticPr fontId="2" type="noConversion"/>
  </si>
  <si>
    <t>梁明</t>
    <phoneticPr fontId="2" type="noConversion"/>
  </si>
  <si>
    <t>王敏婷</t>
    <phoneticPr fontId="2" type="noConversion"/>
  </si>
  <si>
    <t>崔筱筱</t>
    <phoneticPr fontId="2" type="noConversion"/>
  </si>
  <si>
    <t>郑兰亭</t>
    <phoneticPr fontId="2" type="noConversion"/>
  </si>
  <si>
    <t>叶桂樱</t>
    <phoneticPr fontId="2" type="noConversion"/>
  </si>
  <si>
    <t>资产管理积分</t>
    <phoneticPr fontId="2" type="noConversion"/>
  </si>
  <si>
    <t>个人营销积分</t>
    <phoneticPr fontId="2" type="noConversion"/>
  </si>
  <si>
    <t>上海兰亭银行有限公司</t>
    <phoneticPr fontId="2" type="noConversion"/>
  </si>
  <si>
    <t>gggggggggg</t>
  </si>
  <si>
    <t>ggggggggg</t>
  </si>
  <si>
    <t>ggggg</t>
  </si>
  <si>
    <t>gggggg</t>
  </si>
  <si>
    <t>gggggg</t>
    <phoneticPr fontId="2" type="noConversion"/>
  </si>
  <si>
    <t>ggggggggg</t>
    <phoneticPr fontId="2" type="noConversion"/>
  </si>
  <si>
    <t>ggggggg</t>
    <phoneticPr fontId="2" type="noConversion"/>
  </si>
  <si>
    <t>gggggggg</t>
    <phoneticPr fontId="2" type="noConversion"/>
  </si>
  <si>
    <t>ggggggggggg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</si>
</sst>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黑体"/>
      <family val="2"/>
      <charset val="134"/>
    </font>
    <font>
      <sz val="11"/>
      <color theme="0"/>
      <name val="黑体"/>
      <family val="2"/>
      <charset val="134"/>
    </font>
    <font>
      <sz val="9"/>
      <name val="黑体"/>
      <family val="2"/>
      <charset val="134"/>
    </font>
    <font>
      <sz val="11"/>
      <color theme="0"/>
      <name val="黑体"/>
      <family val="3"/>
      <charset val="134"/>
    </font>
    <font>
      <sz val="16"/>
      <color theme="1" tint="0.14999847407452621"/>
      <name val="方正兰亭粗黑简体"/>
      <family val="3"/>
      <charset val="134"/>
    </font>
    <font>
      <sz val="11"/>
      <color theme="1" tint="0.499984740745262"/>
      <name val="黑体"/>
      <family val="2"/>
      <charset val="134"/>
    </font>
    <font>
      <sz val="11"/>
      <color theme="1" tint="0.499984740745262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color theme="1" tint="0.34998626667073579"/>
      <name val="Webdings"/>
      <family val="1"/>
      <charset val="2"/>
    </font>
    <font>
      <sz val="11"/>
      <color rgb="FF00B050"/>
      <name val="Webdings"/>
      <family val="1"/>
      <charset val="2"/>
    </font>
    <font>
      <sz val="11"/>
      <color rgb="FF427FE2"/>
      <name val="Webdings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427FE2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9" fontId="8" fillId="0" borderId="0" xfId="0" applyNumberFormat="1" applyFont="1" applyAlignment="1">
      <alignment horizontal="left" vertical="center"/>
    </xf>
    <xf numFmtId="9" fontId="9" fillId="0" borderId="0" xfId="0" applyNumberFormat="1" applyFont="1" applyAlignment="1">
      <alignment horizontal="left" vertical="center"/>
    </xf>
    <xf numFmtId="9" fontId="10" fillId="0" borderId="0" xfId="0" applyNumberFormat="1" applyFont="1" applyAlignment="1">
      <alignment horizontal="left" vertical="center"/>
    </xf>
    <xf numFmtId="9" fontId="9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006A3333-678A-4965-9BCA-FB8871D7227C}"/>
  </tableStyles>
  <colors>
    <mruColors>
      <color rgb="FF427FE2"/>
      <color rgb="FF12B4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46863</xdr:colOff>
      <xdr:row>8</xdr:row>
      <xdr:rowOff>19050</xdr:rowOff>
    </xdr:from>
    <xdr:to>
      <xdr:col>0</xdr:col>
      <xdr:colOff>1103503</xdr:colOff>
      <xdr:row>8</xdr:row>
      <xdr:rowOff>293370</xdr:rowOff>
    </xdr:to>
    <xdr:grpSp>
      <xdr:nvGrpSpPr>
        <xdr:cNvPr id="110" name="SprkR9C1Shape">
          <a:extLst>
            <a:ext uri="{FF2B5EF4-FFF2-40B4-BE49-F238E27FC236}">
              <a16:creationId xmlns:a16="http://schemas.microsoft.com/office/drawing/2014/main" id="{3C9ED9AB-9EB4-4166-AB7F-7B04FF1E6492}"/>
            </a:ext>
          </a:extLst>
        </xdr:cNvPr>
        <xdr:cNvGrpSpPr/>
      </xdr:nvGrpSpPr>
      <xdr:grpSpPr>
        <a:xfrm>
          <a:off x="46863" y="2518410"/>
          <a:ext cx="1056640" cy="274320"/>
          <a:chOff x="46863" y="2518410"/>
          <a:chExt cx="1056640" cy="274320"/>
        </a:xfrm>
      </xdr:grpSpPr>
      <xdr:sp macro="" textlink="">
        <xdr:nvSpPr>
          <xdr:cNvPr id="109" name="矩形 108">
            <a:extLst>
              <a:ext uri="{FF2B5EF4-FFF2-40B4-BE49-F238E27FC236}">
                <a16:creationId xmlns:a16="http://schemas.microsoft.com/office/drawing/2014/main" id="{AD2FAB30-3AF1-4371-96CA-A19D57C58934}"/>
              </a:ext>
            </a:extLst>
          </xdr:cNvPr>
          <xdr:cNvSpPr/>
        </xdr:nvSpPr>
        <xdr:spPr>
          <a:xfrm>
            <a:off x="973963" y="2596787"/>
            <a:ext cx="129540" cy="195943"/>
          </a:xfrm>
          <a:prstGeom prst="rect">
            <a:avLst/>
          </a:prstGeom>
          <a:solidFill>
            <a:srgbClr val="8C8C8C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8" name="矩形 107">
            <a:extLst>
              <a:ext uri="{FF2B5EF4-FFF2-40B4-BE49-F238E27FC236}">
                <a16:creationId xmlns:a16="http://schemas.microsoft.com/office/drawing/2014/main" id="{77AAAFEE-044E-4534-9444-FBCF7B4AA5CA}"/>
              </a:ext>
            </a:extLst>
          </xdr:cNvPr>
          <xdr:cNvSpPr/>
        </xdr:nvSpPr>
        <xdr:spPr>
          <a:xfrm>
            <a:off x="788543" y="2675164"/>
            <a:ext cx="129540" cy="117566"/>
          </a:xfrm>
          <a:prstGeom prst="rect">
            <a:avLst/>
          </a:prstGeom>
          <a:solidFill>
            <a:srgbClr val="8C8C8C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7" name="矩形 106">
            <a:extLst>
              <a:ext uri="{FF2B5EF4-FFF2-40B4-BE49-F238E27FC236}">
                <a16:creationId xmlns:a16="http://schemas.microsoft.com/office/drawing/2014/main" id="{17A0AAC1-9B87-484D-A0FE-C717FB5E5833}"/>
              </a:ext>
            </a:extLst>
          </xdr:cNvPr>
          <xdr:cNvSpPr/>
        </xdr:nvSpPr>
        <xdr:spPr>
          <a:xfrm>
            <a:off x="603123" y="2714353"/>
            <a:ext cx="129540" cy="78377"/>
          </a:xfrm>
          <a:prstGeom prst="rect">
            <a:avLst/>
          </a:prstGeom>
          <a:solidFill>
            <a:srgbClr val="8C8C8C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6" name="矩形 105">
            <a:extLst>
              <a:ext uri="{FF2B5EF4-FFF2-40B4-BE49-F238E27FC236}">
                <a16:creationId xmlns:a16="http://schemas.microsoft.com/office/drawing/2014/main" id="{CDB5F75E-5E63-455E-B7C5-8E19B834B339}"/>
              </a:ext>
            </a:extLst>
          </xdr:cNvPr>
          <xdr:cNvSpPr/>
        </xdr:nvSpPr>
        <xdr:spPr>
          <a:xfrm>
            <a:off x="417703" y="2557599"/>
            <a:ext cx="129540" cy="235131"/>
          </a:xfrm>
          <a:prstGeom prst="rect">
            <a:avLst/>
          </a:prstGeom>
          <a:solidFill>
            <a:srgbClr val="8C8C8C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5" name="矩形 104">
            <a:extLst>
              <a:ext uri="{FF2B5EF4-FFF2-40B4-BE49-F238E27FC236}">
                <a16:creationId xmlns:a16="http://schemas.microsoft.com/office/drawing/2014/main" id="{0350567E-F398-45FF-AFF7-0613C43B785E}"/>
              </a:ext>
            </a:extLst>
          </xdr:cNvPr>
          <xdr:cNvSpPr/>
        </xdr:nvSpPr>
        <xdr:spPr>
          <a:xfrm>
            <a:off x="232283" y="2596787"/>
            <a:ext cx="129540" cy="195943"/>
          </a:xfrm>
          <a:prstGeom prst="rect">
            <a:avLst/>
          </a:prstGeom>
          <a:solidFill>
            <a:srgbClr val="8C8C8C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4" name="矩形 103">
            <a:extLst>
              <a:ext uri="{FF2B5EF4-FFF2-40B4-BE49-F238E27FC236}">
                <a16:creationId xmlns:a16="http://schemas.microsoft.com/office/drawing/2014/main" id="{0A85D686-1C89-42BA-8D4D-87A2E67F347A}"/>
              </a:ext>
            </a:extLst>
          </xdr:cNvPr>
          <xdr:cNvSpPr/>
        </xdr:nvSpPr>
        <xdr:spPr>
          <a:xfrm>
            <a:off x="46863" y="2518410"/>
            <a:ext cx="129540" cy="274320"/>
          </a:xfrm>
          <a:prstGeom prst="rect">
            <a:avLst/>
          </a:prstGeom>
          <a:solidFill>
            <a:srgbClr val="8C8C8C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3</xdr:col>
      <xdr:colOff>19050</xdr:colOff>
      <xdr:row>4</xdr:row>
      <xdr:rowOff>78105</xdr:rowOff>
    </xdr:from>
    <xdr:to>
      <xdr:col>3</xdr:col>
      <xdr:colOff>229362</xdr:colOff>
      <xdr:row>4</xdr:row>
      <xdr:rowOff>234315</xdr:rowOff>
    </xdr:to>
    <xdr:sp macro="" textlink="">
      <xdr:nvSpPr>
        <xdr:cNvPr id="103" name="SprkR5C4Shape">
          <a:extLst>
            <a:ext uri="{FF2B5EF4-FFF2-40B4-BE49-F238E27FC236}">
              <a16:creationId xmlns:a16="http://schemas.microsoft.com/office/drawing/2014/main" id="{89F55260-8A5C-4863-8B55-3DB5E72F90A9}"/>
            </a:ext>
          </a:extLst>
        </xdr:cNvPr>
        <xdr:cNvSpPr/>
      </xdr:nvSpPr>
      <xdr:spPr>
        <a:xfrm>
          <a:off x="4522470" y="1327785"/>
          <a:ext cx="210312" cy="156210"/>
        </a:xfrm>
        <a:prstGeom prst="rect">
          <a:avLst/>
        </a:prstGeom>
        <a:solidFill>
          <a:srgbClr val="8CBF64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19050</xdr:colOff>
      <xdr:row>3</xdr:row>
      <xdr:rowOff>78105</xdr:rowOff>
    </xdr:from>
    <xdr:to>
      <xdr:col>3</xdr:col>
      <xdr:colOff>649986</xdr:colOff>
      <xdr:row>3</xdr:row>
      <xdr:rowOff>234315</xdr:rowOff>
    </xdr:to>
    <xdr:sp macro="" textlink="">
      <xdr:nvSpPr>
        <xdr:cNvPr id="102" name="SprkR4C4Shape">
          <a:extLst>
            <a:ext uri="{FF2B5EF4-FFF2-40B4-BE49-F238E27FC236}">
              <a16:creationId xmlns:a16="http://schemas.microsoft.com/office/drawing/2014/main" id="{C6C39D46-9976-46B8-8947-D53CDA743DE7}"/>
            </a:ext>
          </a:extLst>
        </xdr:cNvPr>
        <xdr:cNvSpPr/>
      </xdr:nvSpPr>
      <xdr:spPr>
        <a:xfrm>
          <a:off x="4522470" y="1015365"/>
          <a:ext cx="630936" cy="156210"/>
        </a:xfrm>
        <a:prstGeom prst="rect">
          <a:avLst/>
        </a:prstGeom>
        <a:solidFill>
          <a:srgbClr val="8CBF64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19050</xdr:colOff>
      <xdr:row>6</xdr:row>
      <xdr:rowOff>78105</xdr:rowOff>
    </xdr:from>
    <xdr:to>
      <xdr:col>3</xdr:col>
      <xdr:colOff>544830</xdr:colOff>
      <xdr:row>6</xdr:row>
      <xdr:rowOff>234315</xdr:rowOff>
    </xdr:to>
    <xdr:sp macro="" textlink="">
      <xdr:nvSpPr>
        <xdr:cNvPr id="101" name="SprkR7C4Shape">
          <a:extLst>
            <a:ext uri="{FF2B5EF4-FFF2-40B4-BE49-F238E27FC236}">
              <a16:creationId xmlns:a16="http://schemas.microsoft.com/office/drawing/2014/main" id="{7D2D596B-255E-40D5-8243-3453855BA0BE}"/>
            </a:ext>
          </a:extLst>
        </xdr:cNvPr>
        <xdr:cNvSpPr/>
      </xdr:nvSpPr>
      <xdr:spPr>
        <a:xfrm>
          <a:off x="4522470" y="1952625"/>
          <a:ext cx="525780" cy="156210"/>
        </a:xfrm>
        <a:prstGeom prst="rect">
          <a:avLst/>
        </a:prstGeom>
        <a:solidFill>
          <a:srgbClr val="8CBF64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19050</xdr:colOff>
      <xdr:row>5</xdr:row>
      <xdr:rowOff>78105</xdr:rowOff>
    </xdr:from>
    <xdr:to>
      <xdr:col>3</xdr:col>
      <xdr:colOff>334518</xdr:colOff>
      <xdr:row>5</xdr:row>
      <xdr:rowOff>234315</xdr:rowOff>
    </xdr:to>
    <xdr:sp macro="" textlink="">
      <xdr:nvSpPr>
        <xdr:cNvPr id="100" name="SprkR6C4Shape">
          <a:extLst>
            <a:ext uri="{FF2B5EF4-FFF2-40B4-BE49-F238E27FC236}">
              <a16:creationId xmlns:a16="http://schemas.microsoft.com/office/drawing/2014/main" id="{5E235419-4D96-4388-A2E7-CF1D572C162D}"/>
            </a:ext>
          </a:extLst>
        </xdr:cNvPr>
        <xdr:cNvSpPr/>
      </xdr:nvSpPr>
      <xdr:spPr>
        <a:xfrm>
          <a:off x="4522470" y="1640205"/>
          <a:ext cx="315468" cy="156210"/>
        </a:xfrm>
        <a:prstGeom prst="rect">
          <a:avLst/>
        </a:prstGeom>
        <a:solidFill>
          <a:srgbClr val="8CBF64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19050</xdr:colOff>
      <xdr:row>2</xdr:row>
      <xdr:rowOff>78105</xdr:rowOff>
    </xdr:from>
    <xdr:to>
      <xdr:col>3</xdr:col>
      <xdr:colOff>544830</xdr:colOff>
      <xdr:row>2</xdr:row>
      <xdr:rowOff>234315</xdr:rowOff>
    </xdr:to>
    <xdr:sp macro="" textlink="">
      <xdr:nvSpPr>
        <xdr:cNvPr id="99" name="SprkR3C4Shape">
          <a:extLst>
            <a:ext uri="{FF2B5EF4-FFF2-40B4-BE49-F238E27FC236}">
              <a16:creationId xmlns:a16="http://schemas.microsoft.com/office/drawing/2014/main" id="{88546B5B-43B8-4224-A734-43674008D9A1}"/>
            </a:ext>
          </a:extLst>
        </xdr:cNvPr>
        <xdr:cNvSpPr/>
      </xdr:nvSpPr>
      <xdr:spPr>
        <a:xfrm>
          <a:off x="4522470" y="702945"/>
          <a:ext cx="525780" cy="156210"/>
        </a:xfrm>
        <a:prstGeom prst="rect">
          <a:avLst/>
        </a:prstGeom>
        <a:solidFill>
          <a:srgbClr val="8CBF64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19050</xdr:colOff>
      <xdr:row>1</xdr:row>
      <xdr:rowOff>78105</xdr:rowOff>
    </xdr:from>
    <xdr:to>
      <xdr:col>3</xdr:col>
      <xdr:colOff>755142</xdr:colOff>
      <xdr:row>1</xdr:row>
      <xdr:rowOff>234315</xdr:rowOff>
    </xdr:to>
    <xdr:sp macro="" textlink="">
      <xdr:nvSpPr>
        <xdr:cNvPr id="93" name="SprkR2C4Shape">
          <a:extLst>
            <a:ext uri="{FF2B5EF4-FFF2-40B4-BE49-F238E27FC236}">
              <a16:creationId xmlns:a16="http://schemas.microsoft.com/office/drawing/2014/main" id="{60F119BC-36BC-43EF-A259-ECA86D7C507F}"/>
            </a:ext>
          </a:extLst>
        </xdr:cNvPr>
        <xdr:cNvSpPr/>
      </xdr:nvSpPr>
      <xdr:spPr>
        <a:xfrm>
          <a:off x="4522470" y="390525"/>
          <a:ext cx="736092" cy="156210"/>
        </a:xfrm>
        <a:prstGeom prst="rect">
          <a:avLst/>
        </a:prstGeom>
        <a:solidFill>
          <a:srgbClr val="8CBF64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888682</xdr:colOff>
      <xdr:row>1</xdr:row>
      <xdr:rowOff>39052</xdr:rowOff>
    </xdr:from>
    <xdr:to>
      <xdr:col>2</xdr:col>
      <xdr:colOff>1122998</xdr:colOff>
      <xdr:row>1</xdr:row>
      <xdr:rowOff>273368</xdr:rowOff>
    </xdr:to>
    <xdr:grpSp>
      <xdr:nvGrpSpPr>
        <xdr:cNvPr id="62" name="SprkR2C3Shape">
          <a:extLst>
            <a:ext uri="{FF2B5EF4-FFF2-40B4-BE49-F238E27FC236}">
              <a16:creationId xmlns:a16="http://schemas.microsoft.com/office/drawing/2014/main" id="{94FF48C4-0A63-4AC0-BFE6-6EDA811F792F}"/>
            </a:ext>
          </a:extLst>
        </xdr:cNvPr>
        <xdr:cNvGrpSpPr/>
      </xdr:nvGrpSpPr>
      <xdr:grpSpPr>
        <a:xfrm>
          <a:off x="3380422" y="351472"/>
          <a:ext cx="234316" cy="234316"/>
          <a:chOff x="3380422" y="351472"/>
          <a:chExt cx="234316" cy="234316"/>
        </a:xfrm>
      </xdr:grpSpPr>
      <xdr:sp macro="" textlink="">
        <xdr:nvSpPr>
          <xdr:cNvPr id="60" name="椭圆 59">
            <a:extLst>
              <a:ext uri="{FF2B5EF4-FFF2-40B4-BE49-F238E27FC236}">
                <a16:creationId xmlns:a16="http://schemas.microsoft.com/office/drawing/2014/main" id="{1552C30E-70D4-46E7-A4DE-6FC268C70386}"/>
              </a:ext>
            </a:extLst>
          </xdr:cNvPr>
          <xdr:cNvSpPr/>
        </xdr:nvSpPr>
        <xdr:spPr>
          <a:xfrm>
            <a:off x="3380422" y="351472"/>
            <a:ext cx="234316" cy="234316"/>
          </a:xfrm>
          <a:prstGeom prst="ellipse">
            <a:avLst/>
          </a:prstGeom>
          <a:solidFill>
            <a:srgbClr val="C8C8C8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1" name="空心弧 60">
            <a:extLst>
              <a:ext uri="{FF2B5EF4-FFF2-40B4-BE49-F238E27FC236}">
                <a16:creationId xmlns:a16="http://schemas.microsoft.com/office/drawing/2014/main" id="{56824A39-77F4-4133-838B-E8D8941D86D5}"/>
              </a:ext>
            </a:extLst>
          </xdr:cNvPr>
          <xdr:cNvSpPr/>
        </xdr:nvSpPr>
        <xdr:spPr>
          <a:xfrm>
            <a:off x="3380422" y="351472"/>
            <a:ext cx="234316" cy="234316"/>
          </a:xfrm>
          <a:prstGeom prst="blockArc">
            <a:avLst>
              <a:gd name="adj1" fmla="val 16200000"/>
              <a:gd name="adj2" fmla="val 9720000"/>
              <a:gd name="adj3" fmla="val 100000"/>
            </a:avLst>
          </a:prstGeom>
          <a:solidFill>
            <a:srgbClr val="646464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888682</xdr:colOff>
      <xdr:row>2</xdr:row>
      <xdr:rowOff>39052</xdr:rowOff>
    </xdr:from>
    <xdr:to>
      <xdr:col>2</xdr:col>
      <xdr:colOff>1122998</xdr:colOff>
      <xdr:row>2</xdr:row>
      <xdr:rowOff>273368</xdr:rowOff>
    </xdr:to>
    <xdr:grpSp>
      <xdr:nvGrpSpPr>
        <xdr:cNvPr id="63" name="SprkR2C3Shape">
          <a:extLst>
            <a:ext uri="{FF2B5EF4-FFF2-40B4-BE49-F238E27FC236}">
              <a16:creationId xmlns:a16="http://schemas.microsoft.com/office/drawing/2014/main" id="{4478B621-7443-4DAB-ABC8-D4970F95CB9A}"/>
            </a:ext>
          </a:extLst>
        </xdr:cNvPr>
        <xdr:cNvGrpSpPr/>
      </xdr:nvGrpSpPr>
      <xdr:grpSpPr>
        <a:xfrm>
          <a:off x="3380422" y="663892"/>
          <a:ext cx="234316" cy="234316"/>
          <a:chOff x="3380422" y="351472"/>
          <a:chExt cx="234316" cy="234316"/>
        </a:xfrm>
      </xdr:grpSpPr>
      <xdr:sp macro="" textlink="">
        <xdr:nvSpPr>
          <xdr:cNvPr id="64" name="椭圆 63">
            <a:extLst>
              <a:ext uri="{FF2B5EF4-FFF2-40B4-BE49-F238E27FC236}">
                <a16:creationId xmlns:a16="http://schemas.microsoft.com/office/drawing/2014/main" id="{6878DA56-087C-48D0-B19A-70787CCE20EE}"/>
              </a:ext>
            </a:extLst>
          </xdr:cNvPr>
          <xdr:cNvSpPr/>
        </xdr:nvSpPr>
        <xdr:spPr>
          <a:xfrm>
            <a:off x="3380422" y="351472"/>
            <a:ext cx="234316" cy="234316"/>
          </a:xfrm>
          <a:prstGeom prst="ellipse">
            <a:avLst/>
          </a:prstGeom>
          <a:solidFill>
            <a:srgbClr val="C8C8C8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5" name="空心弧 64">
            <a:extLst>
              <a:ext uri="{FF2B5EF4-FFF2-40B4-BE49-F238E27FC236}">
                <a16:creationId xmlns:a16="http://schemas.microsoft.com/office/drawing/2014/main" id="{45BD426C-7D7F-4664-82CB-9E08FF4CABA6}"/>
              </a:ext>
            </a:extLst>
          </xdr:cNvPr>
          <xdr:cNvSpPr/>
        </xdr:nvSpPr>
        <xdr:spPr>
          <a:xfrm>
            <a:off x="3380422" y="351472"/>
            <a:ext cx="234316" cy="234316"/>
          </a:xfrm>
          <a:prstGeom prst="blockArc">
            <a:avLst>
              <a:gd name="adj1" fmla="val 16200000"/>
              <a:gd name="adj2" fmla="val 9720000"/>
              <a:gd name="adj3" fmla="val 100000"/>
            </a:avLst>
          </a:prstGeom>
          <a:solidFill>
            <a:srgbClr val="646464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888682</xdr:colOff>
      <xdr:row>3</xdr:row>
      <xdr:rowOff>39052</xdr:rowOff>
    </xdr:from>
    <xdr:to>
      <xdr:col>2</xdr:col>
      <xdr:colOff>1122998</xdr:colOff>
      <xdr:row>3</xdr:row>
      <xdr:rowOff>273368</xdr:rowOff>
    </xdr:to>
    <xdr:grpSp>
      <xdr:nvGrpSpPr>
        <xdr:cNvPr id="66" name="SprkR2C3Shape">
          <a:extLst>
            <a:ext uri="{FF2B5EF4-FFF2-40B4-BE49-F238E27FC236}">
              <a16:creationId xmlns:a16="http://schemas.microsoft.com/office/drawing/2014/main" id="{AD2E2A3D-19F5-495E-84C1-207309157B4E}"/>
            </a:ext>
          </a:extLst>
        </xdr:cNvPr>
        <xdr:cNvGrpSpPr/>
      </xdr:nvGrpSpPr>
      <xdr:grpSpPr>
        <a:xfrm>
          <a:off x="3380422" y="976312"/>
          <a:ext cx="234316" cy="234316"/>
          <a:chOff x="3380422" y="351472"/>
          <a:chExt cx="234316" cy="234316"/>
        </a:xfrm>
      </xdr:grpSpPr>
      <xdr:sp macro="" textlink="">
        <xdr:nvSpPr>
          <xdr:cNvPr id="67" name="椭圆 66">
            <a:extLst>
              <a:ext uri="{FF2B5EF4-FFF2-40B4-BE49-F238E27FC236}">
                <a16:creationId xmlns:a16="http://schemas.microsoft.com/office/drawing/2014/main" id="{0610872C-2899-4DE7-8FE8-5A2239B52C23}"/>
              </a:ext>
            </a:extLst>
          </xdr:cNvPr>
          <xdr:cNvSpPr/>
        </xdr:nvSpPr>
        <xdr:spPr>
          <a:xfrm>
            <a:off x="3380422" y="351472"/>
            <a:ext cx="234316" cy="234316"/>
          </a:xfrm>
          <a:prstGeom prst="ellipse">
            <a:avLst/>
          </a:prstGeom>
          <a:solidFill>
            <a:srgbClr val="C8C8C8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8" name="空心弧 67">
            <a:extLst>
              <a:ext uri="{FF2B5EF4-FFF2-40B4-BE49-F238E27FC236}">
                <a16:creationId xmlns:a16="http://schemas.microsoft.com/office/drawing/2014/main" id="{39EF0D22-EFC2-448D-A867-AD1B517F605D}"/>
              </a:ext>
            </a:extLst>
          </xdr:cNvPr>
          <xdr:cNvSpPr/>
        </xdr:nvSpPr>
        <xdr:spPr>
          <a:xfrm>
            <a:off x="3380422" y="351472"/>
            <a:ext cx="234316" cy="234316"/>
          </a:xfrm>
          <a:prstGeom prst="blockArc">
            <a:avLst>
              <a:gd name="adj1" fmla="val 16200000"/>
              <a:gd name="adj2" fmla="val 9720000"/>
              <a:gd name="adj3" fmla="val 100000"/>
            </a:avLst>
          </a:prstGeom>
          <a:solidFill>
            <a:srgbClr val="646464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888682</xdr:colOff>
      <xdr:row>4</xdr:row>
      <xdr:rowOff>39052</xdr:rowOff>
    </xdr:from>
    <xdr:to>
      <xdr:col>2</xdr:col>
      <xdr:colOff>1122998</xdr:colOff>
      <xdr:row>4</xdr:row>
      <xdr:rowOff>273368</xdr:rowOff>
    </xdr:to>
    <xdr:grpSp>
      <xdr:nvGrpSpPr>
        <xdr:cNvPr id="69" name="SprkR2C3Shape">
          <a:extLst>
            <a:ext uri="{FF2B5EF4-FFF2-40B4-BE49-F238E27FC236}">
              <a16:creationId xmlns:a16="http://schemas.microsoft.com/office/drawing/2014/main" id="{DB4CC48A-1BF0-4CD8-8472-8AAF5601BA2F}"/>
            </a:ext>
          </a:extLst>
        </xdr:cNvPr>
        <xdr:cNvGrpSpPr/>
      </xdr:nvGrpSpPr>
      <xdr:grpSpPr>
        <a:xfrm>
          <a:off x="3380422" y="1288732"/>
          <a:ext cx="234316" cy="234316"/>
          <a:chOff x="3380422" y="351472"/>
          <a:chExt cx="234316" cy="234316"/>
        </a:xfrm>
      </xdr:grpSpPr>
      <xdr:sp macro="" textlink="">
        <xdr:nvSpPr>
          <xdr:cNvPr id="70" name="椭圆 69">
            <a:extLst>
              <a:ext uri="{FF2B5EF4-FFF2-40B4-BE49-F238E27FC236}">
                <a16:creationId xmlns:a16="http://schemas.microsoft.com/office/drawing/2014/main" id="{1887945A-49C3-4C14-B929-3712988B7EB1}"/>
              </a:ext>
            </a:extLst>
          </xdr:cNvPr>
          <xdr:cNvSpPr/>
        </xdr:nvSpPr>
        <xdr:spPr>
          <a:xfrm>
            <a:off x="3380422" y="351472"/>
            <a:ext cx="234316" cy="234316"/>
          </a:xfrm>
          <a:prstGeom prst="ellipse">
            <a:avLst/>
          </a:prstGeom>
          <a:solidFill>
            <a:srgbClr val="C8C8C8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1" name="空心弧 70">
            <a:extLst>
              <a:ext uri="{FF2B5EF4-FFF2-40B4-BE49-F238E27FC236}">
                <a16:creationId xmlns:a16="http://schemas.microsoft.com/office/drawing/2014/main" id="{0BD913E6-A45C-4DCD-B942-D8073990A44F}"/>
              </a:ext>
            </a:extLst>
          </xdr:cNvPr>
          <xdr:cNvSpPr/>
        </xdr:nvSpPr>
        <xdr:spPr>
          <a:xfrm>
            <a:off x="3380422" y="351472"/>
            <a:ext cx="234316" cy="234316"/>
          </a:xfrm>
          <a:prstGeom prst="blockArc">
            <a:avLst>
              <a:gd name="adj1" fmla="val 16200000"/>
              <a:gd name="adj2" fmla="val 9720000"/>
              <a:gd name="adj3" fmla="val 100000"/>
            </a:avLst>
          </a:prstGeom>
          <a:solidFill>
            <a:srgbClr val="646464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888682</xdr:colOff>
      <xdr:row>5</xdr:row>
      <xdr:rowOff>39052</xdr:rowOff>
    </xdr:from>
    <xdr:to>
      <xdr:col>2</xdr:col>
      <xdr:colOff>1122998</xdr:colOff>
      <xdr:row>5</xdr:row>
      <xdr:rowOff>273368</xdr:rowOff>
    </xdr:to>
    <xdr:grpSp>
      <xdr:nvGrpSpPr>
        <xdr:cNvPr id="72" name="SprkR2C3Shape">
          <a:extLst>
            <a:ext uri="{FF2B5EF4-FFF2-40B4-BE49-F238E27FC236}">
              <a16:creationId xmlns:a16="http://schemas.microsoft.com/office/drawing/2014/main" id="{DAA6EA55-BB92-4CD9-A471-3CD5A128FA59}"/>
            </a:ext>
          </a:extLst>
        </xdr:cNvPr>
        <xdr:cNvGrpSpPr/>
      </xdr:nvGrpSpPr>
      <xdr:grpSpPr>
        <a:xfrm>
          <a:off x="3380422" y="1601152"/>
          <a:ext cx="234316" cy="234316"/>
          <a:chOff x="3380422" y="351472"/>
          <a:chExt cx="234316" cy="234316"/>
        </a:xfrm>
      </xdr:grpSpPr>
      <xdr:sp macro="" textlink="">
        <xdr:nvSpPr>
          <xdr:cNvPr id="73" name="椭圆 72">
            <a:extLst>
              <a:ext uri="{FF2B5EF4-FFF2-40B4-BE49-F238E27FC236}">
                <a16:creationId xmlns:a16="http://schemas.microsoft.com/office/drawing/2014/main" id="{B1EF57D4-9466-419B-91D9-DB833705D1F7}"/>
              </a:ext>
            </a:extLst>
          </xdr:cNvPr>
          <xdr:cNvSpPr/>
        </xdr:nvSpPr>
        <xdr:spPr>
          <a:xfrm>
            <a:off x="3380422" y="351472"/>
            <a:ext cx="234316" cy="234316"/>
          </a:xfrm>
          <a:prstGeom prst="ellipse">
            <a:avLst/>
          </a:prstGeom>
          <a:solidFill>
            <a:srgbClr val="C8C8C8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4" name="空心弧 73">
            <a:extLst>
              <a:ext uri="{FF2B5EF4-FFF2-40B4-BE49-F238E27FC236}">
                <a16:creationId xmlns:a16="http://schemas.microsoft.com/office/drawing/2014/main" id="{61589378-46DB-4D5E-BA0C-8495825C132D}"/>
              </a:ext>
            </a:extLst>
          </xdr:cNvPr>
          <xdr:cNvSpPr/>
        </xdr:nvSpPr>
        <xdr:spPr>
          <a:xfrm>
            <a:off x="3380422" y="351472"/>
            <a:ext cx="234316" cy="234316"/>
          </a:xfrm>
          <a:prstGeom prst="blockArc">
            <a:avLst>
              <a:gd name="adj1" fmla="val 16200000"/>
              <a:gd name="adj2" fmla="val 9720000"/>
              <a:gd name="adj3" fmla="val 100000"/>
            </a:avLst>
          </a:prstGeom>
          <a:solidFill>
            <a:srgbClr val="646464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888682</xdr:colOff>
      <xdr:row>6</xdr:row>
      <xdr:rowOff>39052</xdr:rowOff>
    </xdr:from>
    <xdr:to>
      <xdr:col>2</xdr:col>
      <xdr:colOff>1122998</xdr:colOff>
      <xdr:row>6</xdr:row>
      <xdr:rowOff>273368</xdr:rowOff>
    </xdr:to>
    <xdr:grpSp>
      <xdr:nvGrpSpPr>
        <xdr:cNvPr id="75" name="SprkR2C3Shape">
          <a:extLst>
            <a:ext uri="{FF2B5EF4-FFF2-40B4-BE49-F238E27FC236}">
              <a16:creationId xmlns:a16="http://schemas.microsoft.com/office/drawing/2014/main" id="{E5AAE021-0240-4B64-B29D-D9893C1735AE}"/>
            </a:ext>
          </a:extLst>
        </xdr:cNvPr>
        <xdr:cNvGrpSpPr/>
      </xdr:nvGrpSpPr>
      <xdr:grpSpPr>
        <a:xfrm>
          <a:off x="3380422" y="1913572"/>
          <a:ext cx="234316" cy="234316"/>
          <a:chOff x="3380422" y="351472"/>
          <a:chExt cx="234316" cy="234316"/>
        </a:xfrm>
      </xdr:grpSpPr>
      <xdr:sp macro="" textlink="">
        <xdr:nvSpPr>
          <xdr:cNvPr id="76" name="椭圆 75">
            <a:extLst>
              <a:ext uri="{FF2B5EF4-FFF2-40B4-BE49-F238E27FC236}">
                <a16:creationId xmlns:a16="http://schemas.microsoft.com/office/drawing/2014/main" id="{9115DF48-CB38-4C93-8B3E-9836B8B89C9A}"/>
              </a:ext>
            </a:extLst>
          </xdr:cNvPr>
          <xdr:cNvSpPr/>
        </xdr:nvSpPr>
        <xdr:spPr>
          <a:xfrm>
            <a:off x="3380422" y="351472"/>
            <a:ext cx="234316" cy="234316"/>
          </a:xfrm>
          <a:prstGeom prst="ellipse">
            <a:avLst/>
          </a:prstGeom>
          <a:solidFill>
            <a:srgbClr val="C8C8C8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7" name="空心弧 76">
            <a:extLst>
              <a:ext uri="{FF2B5EF4-FFF2-40B4-BE49-F238E27FC236}">
                <a16:creationId xmlns:a16="http://schemas.microsoft.com/office/drawing/2014/main" id="{2F1DE65C-3AFA-47DE-9AF9-5473239E325F}"/>
              </a:ext>
            </a:extLst>
          </xdr:cNvPr>
          <xdr:cNvSpPr/>
        </xdr:nvSpPr>
        <xdr:spPr>
          <a:xfrm>
            <a:off x="3380422" y="351472"/>
            <a:ext cx="234316" cy="234316"/>
          </a:xfrm>
          <a:prstGeom prst="blockArc">
            <a:avLst>
              <a:gd name="adj1" fmla="val 16200000"/>
              <a:gd name="adj2" fmla="val 9720000"/>
              <a:gd name="adj3" fmla="val 100000"/>
            </a:avLst>
          </a:prstGeom>
          <a:solidFill>
            <a:srgbClr val="646464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888682</xdr:colOff>
      <xdr:row>2</xdr:row>
      <xdr:rowOff>39053</xdr:rowOff>
    </xdr:from>
    <xdr:to>
      <xdr:col>2</xdr:col>
      <xdr:colOff>1122998</xdr:colOff>
      <xdr:row>2</xdr:row>
      <xdr:rowOff>273368</xdr:rowOff>
    </xdr:to>
    <xdr:grpSp>
      <xdr:nvGrpSpPr>
        <xdr:cNvPr id="80" name="SprkR3C3Shape">
          <a:extLst>
            <a:ext uri="{FF2B5EF4-FFF2-40B4-BE49-F238E27FC236}">
              <a16:creationId xmlns:a16="http://schemas.microsoft.com/office/drawing/2014/main" id="{60C26720-221E-439B-B503-C3886B3924DC}"/>
            </a:ext>
          </a:extLst>
        </xdr:cNvPr>
        <xdr:cNvGrpSpPr/>
      </xdr:nvGrpSpPr>
      <xdr:grpSpPr>
        <a:xfrm>
          <a:off x="3380422" y="663893"/>
          <a:ext cx="234316" cy="234315"/>
          <a:chOff x="3380422" y="663893"/>
          <a:chExt cx="234316" cy="234315"/>
        </a:xfrm>
      </xdr:grpSpPr>
      <xdr:sp macro="" textlink="">
        <xdr:nvSpPr>
          <xdr:cNvPr id="78" name="椭圆 77">
            <a:extLst>
              <a:ext uri="{FF2B5EF4-FFF2-40B4-BE49-F238E27FC236}">
                <a16:creationId xmlns:a16="http://schemas.microsoft.com/office/drawing/2014/main" id="{BFD509F3-130B-4648-BA06-6D80BD67C313}"/>
              </a:ext>
            </a:extLst>
          </xdr:cNvPr>
          <xdr:cNvSpPr/>
        </xdr:nvSpPr>
        <xdr:spPr>
          <a:xfrm>
            <a:off x="3380422" y="663893"/>
            <a:ext cx="234316" cy="234315"/>
          </a:xfrm>
          <a:prstGeom prst="ellipse">
            <a:avLst/>
          </a:prstGeom>
          <a:solidFill>
            <a:srgbClr val="C8C8C8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9" name="空心弧 78">
            <a:extLst>
              <a:ext uri="{FF2B5EF4-FFF2-40B4-BE49-F238E27FC236}">
                <a16:creationId xmlns:a16="http://schemas.microsoft.com/office/drawing/2014/main" id="{8F6C9DEA-0CA0-4F40-BB08-E91C5C3AB300}"/>
              </a:ext>
            </a:extLst>
          </xdr:cNvPr>
          <xdr:cNvSpPr/>
        </xdr:nvSpPr>
        <xdr:spPr>
          <a:xfrm>
            <a:off x="3380422" y="663893"/>
            <a:ext cx="234316" cy="234315"/>
          </a:xfrm>
          <a:prstGeom prst="blockArc">
            <a:avLst>
              <a:gd name="adj1" fmla="val 16200000"/>
              <a:gd name="adj2" fmla="val 5400000"/>
              <a:gd name="adj3" fmla="val 100000"/>
            </a:avLst>
          </a:prstGeom>
          <a:solidFill>
            <a:srgbClr val="646464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888682</xdr:colOff>
      <xdr:row>3</xdr:row>
      <xdr:rowOff>39053</xdr:rowOff>
    </xdr:from>
    <xdr:to>
      <xdr:col>2</xdr:col>
      <xdr:colOff>1122998</xdr:colOff>
      <xdr:row>3</xdr:row>
      <xdr:rowOff>273367</xdr:rowOff>
    </xdr:to>
    <xdr:grpSp>
      <xdr:nvGrpSpPr>
        <xdr:cNvPr id="83" name="SprkR4C3Shape">
          <a:extLst>
            <a:ext uri="{FF2B5EF4-FFF2-40B4-BE49-F238E27FC236}">
              <a16:creationId xmlns:a16="http://schemas.microsoft.com/office/drawing/2014/main" id="{CBE10ADC-F99F-44C2-8233-668812C59119}"/>
            </a:ext>
          </a:extLst>
        </xdr:cNvPr>
        <xdr:cNvGrpSpPr/>
      </xdr:nvGrpSpPr>
      <xdr:grpSpPr>
        <a:xfrm>
          <a:off x="3380422" y="976313"/>
          <a:ext cx="234316" cy="234314"/>
          <a:chOff x="3380422" y="976313"/>
          <a:chExt cx="234316" cy="234314"/>
        </a:xfrm>
      </xdr:grpSpPr>
      <xdr:sp macro="" textlink="">
        <xdr:nvSpPr>
          <xdr:cNvPr id="81" name="椭圆 80">
            <a:extLst>
              <a:ext uri="{FF2B5EF4-FFF2-40B4-BE49-F238E27FC236}">
                <a16:creationId xmlns:a16="http://schemas.microsoft.com/office/drawing/2014/main" id="{824FFB54-605D-4419-8EEF-1FA90B31F28D}"/>
              </a:ext>
            </a:extLst>
          </xdr:cNvPr>
          <xdr:cNvSpPr/>
        </xdr:nvSpPr>
        <xdr:spPr>
          <a:xfrm>
            <a:off x="3380422" y="976313"/>
            <a:ext cx="234316" cy="234314"/>
          </a:xfrm>
          <a:prstGeom prst="ellipse">
            <a:avLst/>
          </a:prstGeom>
          <a:solidFill>
            <a:srgbClr val="C8C8C8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82" name="空心弧 81">
            <a:extLst>
              <a:ext uri="{FF2B5EF4-FFF2-40B4-BE49-F238E27FC236}">
                <a16:creationId xmlns:a16="http://schemas.microsoft.com/office/drawing/2014/main" id="{D732EDB0-0E87-4AAC-BBBC-5930A5888BC1}"/>
              </a:ext>
            </a:extLst>
          </xdr:cNvPr>
          <xdr:cNvSpPr/>
        </xdr:nvSpPr>
        <xdr:spPr>
          <a:xfrm>
            <a:off x="3380422" y="976313"/>
            <a:ext cx="234316" cy="234314"/>
          </a:xfrm>
          <a:prstGeom prst="blockArc">
            <a:avLst>
              <a:gd name="adj1" fmla="val 16200000"/>
              <a:gd name="adj2" fmla="val 7560000"/>
              <a:gd name="adj3" fmla="val 100000"/>
            </a:avLst>
          </a:prstGeom>
          <a:solidFill>
            <a:srgbClr val="646464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888682</xdr:colOff>
      <xdr:row>4</xdr:row>
      <xdr:rowOff>39052</xdr:rowOff>
    </xdr:from>
    <xdr:to>
      <xdr:col>2</xdr:col>
      <xdr:colOff>1122998</xdr:colOff>
      <xdr:row>4</xdr:row>
      <xdr:rowOff>273368</xdr:rowOff>
    </xdr:to>
    <xdr:grpSp>
      <xdr:nvGrpSpPr>
        <xdr:cNvPr id="86" name="SprkR5C3Shape">
          <a:extLst>
            <a:ext uri="{FF2B5EF4-FFF2-40B4-BE49-F238E27FC236}">
              <a16:creationId xmlns:a16="http://schemas.microsoft.com/office/drawing/2014/main" id="{908DF2BD-9DA8-4091-80EB-D879BE66828A}"/>
            </a:ext>
          </a:extLst>
        </xdr:cNvPr>
        <xdr:cNvGrpSpPr/>
      </xdr:nvGrpSpPr>
      <xdr:grpSpPr>
        <a:xfrm>
          <a:off x="3380422" y="1288732"/>
          <a:ext cx="234316" cy="234316"/>
          <a:chOff x="3380422" y="1288732"/>
          <a:chExt cx="234316" cy="234316"/>
        </a:xfrm>
      </xdr:grpSpPr>
      <xdr:sp macro="" textlink="">
        <xdr:nvSpPr>
          <xdr:cNvPr id="84" name="椭圆 83">
            <a:extLst>
              <a:ext uri="{FF2B5EF4-FFF2-40B4-BE49-F238E27FC236}">
                <a16:creationId xmlns:a16="http://schemas.microsoft.com/office/drawing/2014/main" id="{B220B5E2-4F62-4D49-A9FB-EAF4A6B58B15}"/>
              </a:ext>
            </a:extLst>
          </xdr:cNvPr>
          <xdr:cNvSpPr/>
        </xdr:nvSpPr>
        <xdr:spPr>
          <a:xfrm>
            <a:off x="3380422" y="1288732"/>
            <a:ext cx="234316" cy="234316"/>
          </a:xfrm>
          <a:prstGeom prst="ellipse">
            <a:avLst/>
          </a:prstGeom>
          <a:solidFill>
            <a:srgbClr val="C8C8C8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85" name="空心弧 84">
            <a:extLst>
              <a:ext uri="{FF2B5EF4-FFF2-40B4-BE49-F238E27FC236}">
                <a16:creationId xmlns:a16="http://schemas.microsoft.com/office/drawing/2014/main" id="{5F0E4D86-ACD7-44D3-9EE7-97A4380716D6}"/>
              </a:ext>
            </a:extLst>
          </xdr:cNvPr>
          <xdr:cNvSpPr/>
        </xdr:nvSpPr>
        <xdr:spPr>
          <a:xfrm>
            <a:off x="3380422" y="1288732"/>
            <a:ext cx="234316" cy="234316"/>
          </a:xfrm>
          <a:prstGeom prst="blockArc">
            <a:avLst>
              <a:gd name="adj1" fmla="val 16200000"/>
              <a:gd name="adj2" fmla="val 20520000"/>
              <a:gd name="adj3" fmla="val 100000"/>
            </a:avLst>
          </a:prstGeom>
          <a:solidFill>
            <a:srgbClr val="646464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888682</xdr:colOff>
      <xdr:row>5</xdr:row>
      <xdr:rowOff>39052</xdr:rowOff>
    </xdr:from>
    <xdr:to>
      <xdr:col>2</xdr:col>
      <xdr:colOff>1122998</xdr:colOff>
      <xdr:row>5</xdr:row>
      <xdr:rowOff>273367</xdr:rowOff>
    </xdr:to>
    <xdr:grpSp>
      <xdr:nvGrpSpPr>
        <xdr:cNvPr id="89" name="SprkR6C3Shape">
          <a:extLst>
            <a:ext uri="{FF2B5EF4-FFF2-40B4-BE49-F238E27FC236}">
              <a16:creationId xmlns:a16="http://schemas.microsoft.com/office/drawing/2014/main" id="{B384CE4A-74EE-4927-B517-516B9AA18FA5}"/>
            </a:ext>
          </a:extLst>
        </xdr:cNvPr>
        <xdr:cNvGrpSpPr/>
      </xdr:nvGrpSpPr>
      <xdr:grpSpPr>
        <a:xfrm>
          <a:off x="3380422" y="1601152"/>
          <a:ext cx="234316" cy="234315"/>
          <a:chOff x="3380422" y="1601152"/>
          <a:chExt cx="234316" cy="234315"/>
        </a:xfrm>
      </xdr:grpSpPr>
      <xdr:sp macro="" textlink="">
        <xdr:nvSpPr>
          <xdr:cNvPr id="87" name="椭圆 86">
            <a:extLst>
              <a:ext uri="{FF2B5EF4-FFF2-40B4-BE49-F238E27FC236}">
                <a16:creationId xmlns:a16="http://schemas.microsoft.com/office/drawing/2014/main" id="{41855004-B38D-45B3-98A6-B3EE6B26EC2A}"/>
              </a:ext>
            </a:extLst>
          </xdr:cNvPr>
          <xdr:cNvSpPr/>
        </xdr:nvSpPr>
        <xdr:spPr>
          <a:xfrm>
            <a:off x="3380422" y="1601152"/>
            <a:ext cx="234316" cy="234315"/>
          </a:xfrm>
          <a:prstGeom prst="ellipse">
            <a:avLst/>
          </a:prstGeom>
          <a:solidFill>
            <a:srgbClr val="C8C8C8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88" name="空心弧 87">
            <a:extLst>
              <a:ext uri="{FF2B5EF4-FFF2-40B4-BE49-F238E27FC236}">
                <a16:creationId xmlns:a16="http://schemas.microsoft.com/office/drawing/2014/main" id="{A1EADCD2-727C-4609-9B79-A7BE3321201E}"/>
              </a:ext>
            </a:extLst>
          </xdr:cNvPr>
          <xdr:cNvSpPr/>
        </xdr:nvSpPr>
        <xdr:spPr>
          <a:xfrm>
            <a:off x="3380422" y="1601152"/>
            <a:ext cx="234316" cy="234315"/>
          </a:xfrm>
          <a:prstGeom prst="blockArc">
            <a:avLst>
              <a:gd name="adj1" fmla="val 16200000"/>
              <a:gd name="adj2" fmla="val 1080000"/>
              <a:gd name="adj3" fmla="val 100000"/>
            </a:avLst>
          </a:prstGeom>
          <a:solidFill>
            <a:srgbClr val="646464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888682</xdr:colOff>
      <xdr:row>6</xdr:row>
      <xdr:rowOff>39053</xdr:rowOff>
    </xdr:from>
    <xdr:to>
      <xdr:col>2</xdr:col>
      <xdr:colOff>1122998</xdr:colOff>
      <xdr:row>6</xdr:row>
      <xdr:rowOff>273368</xdr:rowOff>
    </xdr:to>
    <xdr:grpSp>
      <xdr:nvGrpSpPr>
        <xdr:cNvPr id="92" name="SprkR7C3Shape">
          <a:extLst>
            <a:ext uri="{FF2B5EF4-FFF2-40B4-BE49-F238E27FC236}">
              <a16:creationId xmlns:a16="http://schemas.microsoft.com/office/drawing/2014/main" id="{A583E4C4-06F7-47E2-B046-A3672F208827}"/>
            </a:ext>
          </a:extLst>
        </xdr:cNvPr>
        <xdr:cNvGrpSpPr/>
      </xdr:nvGrpSpPr>
      <xdr:grpSpPr>
        <a:xfrm>
          <a:off x="3380422" y="1913573"/>
          <a:ext cx="234316" cy="234315"/>
          <a:chOff x="3380422" y="1913573"/>
          <a:chExt cx="234316" cy="234315"/>
        </a:xfrm>
      </xdr:grpSpPr>
      <xdr:sp macro="" textlink="">
        <xdr:nvSpPr>
          <xdr:cNvPr id="90" name="椭圆 89">
            <a:extLst>
              <a:ext uri="{FF2B5EF4-FFF2-40B4-BE49-F238E27FC236}">
                <a16:creationId xmlns:a16="http://schemas.microsoft.com/office/drawing/2014/main" id="{1AA4C35E-E961-44CA-82E2-07403870AD9B}"/>
              </a:ext>
            </a:extLst>
          </xdr:cNvPr>
          <xdr:cNvSpPr/>
        </xdr:nvSpPr>
        <xdr:spPr>
          <a:xfrm>
            <a:off x="3380422" y="1913573"/>
            <a:ext cx="234316" cy="234315"/>
          </a:xfrm>
          <a:prstGeom prst="ellipse">
            <a:avLst/>
          </a:prstGeom>
          <a:solidFill>
            <a:srgbClr val="C8C8C8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91" name="空心弧 90">
            <a:extLst>
              <a:ext uri="{FF2B5EF4-FFF2-40B4-BE49-F238E27FC236}">
                <a16:creationId xmlns:a16="http://schemas.microsoft.com/office/drawing/2014/main" id="{51AB1320-3F2E-467A-96CD-C20BFC85C7A6}"/>
              </a:ext>
            </a:extLst>
          </xdr:cNvPr>
          <xdr:cNvSpPr/>
        </xdr:nvSpPr>
        <xdr:spPr>
          <a:xfrm>
            <a:off x="3380422" y="1913573"/>
            <a:ext cx="234316" cy="234315"/>
          </a:xfrm>
          <a:prstGeom prst="blockArc">
            <a:avLst>
              <a:gd name="adj1" fmla="val 16200000"/>
              <a:gd name="adj2" fmla="val 5400000"/>
              <a:gd name="adj3" fmla="val 100000"/>
            </a:avLst>
          </a:prstGeom>
          <a:solidFill>
            <a:srgbClr val="646464"/>
          </a:solidFill>
          <a:ln w="1270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</xdr:col>
      <xdr:colOff>19050</xdr:colOff>
      <xdr:row>2</xdr:row>
      <xdr:rowOff>78105</xdr:rowOff>
    </xdr:from>
    <xdr:to>
      <xdr:col>3</xdr:col>
      <xdr:colOff>755142</xdr:colOff>
      <xdr:row>2</xdr:row>
      <xdr:rowOff>234315</xdr:rowOff>
    </xdr:to>
    <xdr:sp macro="" textlink="">
      <xdr:nvSpPr>
        <xdr:cNvPr id="94" name="SprkR2C4Shape">
          <a:extLst>
            <a:ext uri="{FF2B5EF4-FFF2-40B4-BE49-F238E27FC236}">
              <a16:creationId xmlns:a16="http://schemas.microsoft.com/office/drawing/2014/main" id="{4033180E-D433-437A-A554-29E6A4FFDF28}"/>
            </a:ext>
          </a:extLst>
        </xdr:cNvPr>
        <xdr:cNvSpPr/>
      </xdr:nvSpPr>
      <xdr:spPr>
        <a:xfrm>
          <a:off x="4522470" y="390525"/>
          <a:ext cx="736092" cy="156210"/>
        </a:xfrm>
        <a:prstGeom prst="rect">
          <a:avLst/>
        </a:prstGeom>
        <a:solidFill>
          <a:srgbClr val="8CBF64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19050</xdr:colOff>
      <xdr:row>3</xdr:row>
      <xdr:rowOff>78105</xdr:rowOff>
    </xdr:from>
    <xdr:to>
      <xdr:col>3</xdr:col>
      <xdr:colOff>755142</xdr:colOff>
      <xdr:row>3</xdr:row>
      <xdr:rowOff>234315</xdr:rowOff>
    </xdr:to>
    <xdr:sp macro="" textlink="">
      <xdr:nvSpPr>
        <xdr:cNvPr id="95" name="SprkR2C4Shape">
          <a:extLst>
            <a:ext uri="{FF2B5EF4-FFF2-40B4-BE49-F238E27FC236}">
              <a16:creationId xmlns:a16="http://schemas.microsoft.com/office/drawing/2014/main" id="{0CC24407-A886-4108-AE85-AA65C4A85F5C}"/>
            </a:ext>
          </a:extLst>
        </xdr:cNvPr>
        <xdr:cNvSpPr/>
      </xdr:nvSpPr>
      <xdr:spPr>
        <a:xfrm>
          <a:off x="4522470" y="390525"/>
          <a:ext cx="736092" cy="156210"/>
        </a:xfrm>
        <a:prstGeom prst="rect">
          <a:avLst/>
        </a:prstGeom>
        <a:solidFill>
          <a:srgbClr val="8CBF64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19050</xdr:colOff>
      <xdr:row>4</xdr:row>
      <xdr:rowOff>78105</xdr:rowOff>
    </xdr:from>
    <xdr:to>
      <xdr:col>3</xdr:col>
      <xdr:colOff>755142</xdr:colOff>
      <xdr:row>4</xdr:row>
      <xdr:rowOff>234315</xdr:rowOff>
    </xdr:to>
    <xdr:sp macro="" textlink="">
      <xdr:nvSpPr>
        <xdr:cNvPr id="96" name="SprkR2C4Shape">
          <a:extLst>
            <a:ext uri="{FF2B5EF4-FFF2-40B4-BE49-F238E27FC236}">
              <a16:creationId xmlns:a16="http://schemas.microsoft.com/office/drawing/2014/main" id="{818291F7-9C55-4C51-971D-52CF67DB08F2}"/>
            </a:ext>
          </a:extLst>
        </xdr:cNvPr>
        <xdr:cNvSpPr/>
      </xdr:nvSpPr>
      <xdr:spPr>
        <a:xfrm>
          <a:off x="4522470" y="390525"/>
          <a:ext cx="736092" cy="156210"/>
        </a:xfrm>
        <a:prstGeom prst="rect">
          <a:avLst/>
        </a:prstGeom>
        <a:solidFill>
          <a:srgbClr val="8CBF64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19050</xdr:colOff>
      <xdr:row>5</xdr:row>
      <xdr:rowOff>78105</xdr:rowOff>
    </xdr:from>
    <xdr:to>
      <xdr:col>3</xdr:col>
      <xdr:colOff>755142</xdr:colOff>
      <xdr:row>5</xdr:row>
      <xdr:rowOff>234315</xdr:rowOff>
    </xdr:to>
    <xdr:sp macro="" textlink="">
      <xdr:nvSpPr>
        <xdr:cNvPr id="97" name="SprkR2C4Shape">
          <a:extLst>
            <a:ext uri="{FF2B5EF4-FFF2-40B4-BE49-F238E27FC236}">
              <a16:creationId xmlns:a16="http://schemas.microsoft.com/office/drawing/2014/main" id="{8DD31D34-6C8E-41A3-A6EE-1AA5E2B92655}"/>
            </a:ext>
          </a:extLst>
        </xdr:cNvPr>
        <xdr:cNvSpPr/>
      </xdr:nvSpPr>
      <xdr:spPr>
        <a:xfrm>
          <a:off x="4522470" y="390525"/>
          <a:ext cx="736092" cy="156210"/>
        </a:xfrm>
        <a:prstGeom prst="rect">
          <a:avLst/>
        </a:prstGeom>
        <a:solidFill>
          <a:srgbClr val="8CBF64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19050</xdr:colOff>
      <xdr:row>6</xdr:row>
      <xdr:rowOff>78105</xdr:rowOff>
    </xdr:from>
    <xdr:to>
      <xdr:col>3</xdr:col>
      <xdr:colOff>755142</xdr:colOff>
      <xdr:row>6</xdr:row>
      <xdr:rowOff>234315</xdr:rowOff>
    </xdr:to>
    <xdr:sp macro="" textlink="">
      <xdr:nvSpPr>
        <xdr:cNvPr id="98" name="SprkR2C4Shape">
          <a:extLst>
            <a:ext uri="{FF2B5EF4-FFF2-40B4-BE49-F238E27FC236}">
              <a16:creationId xmlns:a16="http://schemas.microsoft.com/office/drawing/2014/main" id="{BCE5AE81-F4B0-4741-87C1-49428BD1586A}"/>
            </a:ext>
          </a:extLst>
        </xdr:cNvPr>
        <xdr:cNvSpPr/>
      </xdr:nvSpPr>
      <xdr:spPr>
        <a:xfrm>
          <a:off x="4522470" y="390525"/>
          <a:ext cx="736092" cy="156210"/>
        </a:xfrm>
        <a:prstGeom prst="rect">
          <a:avLst/>
        </a:prstGeom>
        <a:solidFill>
          <a:srgbClr val="8CBF64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38597;&#23458;/Desktop/SparklinesCn-X64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parklinesCn-X64"/>
    </sheetNames>
    <definedNames>
      <definedName name="barchart"/>
      <definedName name="piechart"/>
      <definedName name="varichart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617A-6A8E-48DA-B49F-13708B50D63B}">
  <dimension ref="A1:J7"/>
  <sheetViews>
    <sheetView workbookViewId="0">
      <selection activeCell="H11" sqref="H11"/>
    </sheetView>
  </sheetViews>
  <sheetFormatPr defaultColWidth="12.21875" defaultRowHeight="25.05" customHeight="1"/>
  <cols>
    <col min="1" max="1" width="16.77734375" style="1" customWidth="1"/>
    <col min="2" max="2" width="20.88671875" style="1" customWidth="1"/>
    <col min="3" max="3" width="29.33203125" style="1" customWidth="1"/>
    <col min="4" max="4" width="15.109375" style="1" customWidth="1"/>
    <col min="5" max="7" width="12.21875" style="1"/>
    <col min="8" max="8" width="19.109375" style="1" customWidth="1"/>
    <col min="9" max="9" width="20.88671875" style="1" customWidth="1"/>
    <col min="10" max="10" width="26.44140625" style="1" customWidth="1"/>
    <col min="11" max="16384" width="12.21875" style="1"/>
  </cols>
  <sheetData>
    <row r="1" spans="1:10" ht="25.05" customHeight="1">
      <c r="A1" s="2" t="s">
        <v>0</v>
      </c>
      <c r="B1" s="3" t="s">
        <v>1</v>
      </c>
      <c r="C1" s="3" t="s">
        <v>9</v>
      </c>
      <c r="D1" s="3" t="s">
        <v>10</v>
      </c>
      <c r="H1" s="2" t="s">
        <v>0</v>
      </c>
      <c r="I1" s="3" t="s">
        <v>1</v>
      </c>
      <c r="J1" s="3" t="s">
        <v>2</v>
      </c>
    </row>
    <row r="2" spans="1:10" ht="25.05" customHeight="1">
      <c r="A2" s="1" t="s">
        <v>3</v>
      </c>
      <c r="B2" s="4">
        <v>0.7</v>
      </c>
      <c r="C2" s="4">
        <f>B2</f>
        <v>0.7</v>
      </c>
      <c r="D2" s="4">
        <f>B2</f>
        <v>0.7</v>
      </c>
      <c r="H2" s="1" t="s">
        <v>3</v>
      </c>
      <c r="I2" s="4">
        <v>0.7</v>
      </c>
      <c r="J2" s="4">
        <v>0.7</v>
      </c>
    </row>
    <row r="3" spans="1:10" ht="25.05" customHeight="1">
      <c r="A3" s="1" t="s">
        <v>4</v>
      </c>
      <c r="B3" s="4">
        <v>0.5</v>
      </c>
      <c r="C3" s="4">
        <f t="shared" ref="C3:C7" si="0">B3</f>
        <v>0.5</v>
      </c>
      <c r="D3" s="4">
        <f t="shared" ref="D3:D7" si="1">B3</f>
        <v>0.5</v>
      </c>
      <c r="H3" s="1" t="s">
        <v>4</v>
      </c>
      <c r="I3" s="4">
        <v>-0.5</v>
      </c>
      <c r="J3" s="4">
        <v>-0.5</v>
      </c>
    </row>
    <row r="4" spans="1:10" ht="25.05" customHeight="1">
      <c r="A4" s="1" t="s">
        <v>5</v>
      </c>
      <c r="B4" s="4">
        <v>0.6</v>
      </c>
      <c r="C4" s="4">
        <f t="shared" si="0"/>
        <v>0.6</v>
      </c>
      <c r="D4" s="4">
        <f t="shared" si="1"/>
        <v>0.6</v>
      </c>
      <c r="H4" s="1" t="s">
        <v>5</v>
      </c>
      <c r="I4" s="4">
        <v>0.6</v>
      </c>
      <c r="J4" s="4">
        <v>0.6</v>
      </c>
    </row>
    <row r="5" spans="1:10" ht="25.05" customHeight="1">
      <c r="A5" s="1" t="s">
        <v>6</v>
      </c>
      <c r="B5" s="4">
        <v>0.2</v>
      </c>
      <c r="C5" s="4">
        <f t="shared" si="0"/>
        <v>0.2</v>
      </c>
      <c r="D5" s="4">
        <f t="shared" si="1"/>
        <v>0.2</v>
      </c>
      <c r="H5" s="1" t="s">
        <v>6</v>
      </c>
      <c r="I5" s="4">
        <v>-0.2</v>
      </c>
      <c r="J5" s="4">
        <v>-0.2</v>
      </c>
    </row>
    <row r="6" spans="1:10" ht="25.05" customHeight="1">
      <c r="A6" s="1" t="s">
        <v>7</v>
      </c>
      <c r="B6" s="4">
        <v>0.3</v>
      </c>
      <c r="C6" s="4">
        <f t="shared" si="0"/>
        <v>0.3</v>
      </c>
      <c r="D6" s="4">
        <f t="shared" si="1"/>
        <v>0.3</v>
      </c>
      <c r="H6" s="1" t="s">
        <v>7</v>
      </c>
      <c r="I6" s="4">
        <v>0.3</v>
      </c>
      <c r="J6" s="4">
        <v>0.3</v>
      </c>
    </row>
    <row r="7" spans="1:10" ht="25.05" customHeight="1">
      <c r="A7" s="1" t="s">
        <v>8</v>
      </c>
      <c r="B7" s="4">
        <v>0.5</v>
      </c>
      <c r="C7" s="4">
        <f t="shared" si="0"/>
        <v>0.5</v>
      </c>
      <c r="D7" s="4">
        <f t="shared" si="1"/>
        <v>0.5</v>
      </c>
      <c r="H7" s="1" t="s">
        <v>8</v>
      </c>
      <c r="I7" s="4">
        <v>0.5</v>
      </c>
      <c r="J7" s="4">
        <v>0.5</v>
      </c>
    </row>
  </sheetData>
  <phoneticPr fontId="2" type="noConversion"/>
  <conditionalFormatting sqref="C2:C7">
    <cfRule type="dataBar" priority="3">
      <dataBar showValue="0">
        <cfvo type="min"/>
        <cfvo type="max"/>
        <color rgb="FFFFB628"/>
      </dataBar>
      <extLst>
        <ext xmlns:x14="http://schemas.microsoft.com/office/spreadsheetml/2009/9/main" uri="{B025F937-C7B1-47D3-B67F-A62EFF666E3E}">
          <x14:id>{9AC4ACBF-798D-4F94-AAEC-466E12AA0205}</x14:id>
        </ext>
      </extLst>
    </cfRule>
  </conditionalFormatting>
  <conditionalFormatting sqref="D2:D7">
    <cfRule type="iconSet" priority="1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2:J7">
    <cfRule type="dataBar" priority="2">
      <dataBar showValue="0">
        <cfvo type="min"/>
        <cfvo type="max"/>
        <color rgb="FFFFB628"/>
      </dataBar>
      <extLst>
        <ext xmlns:x14="http://schemas.microsoft.com/office/spreadsheetml/2009/9/main" uri="{B025F937-C7B1-47D3-B67F-A62EFF666E3E}">
          <x14:id>{70CD8F6C-B0D1-4D82-BDBB-46E7F422219C}</x14:id>
        </ext>
      </extLst>
    </cfRule>
  </conditionalFormatting>
  <pageMargins left="0.7" right="0.7" top="0.75" bottom="0.75" header="0.3" footer="0.3"/>
  <pageSetup paperSize="9" orientation="portrait" horizontalDpi="180" verticalDpi="18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C4ACBF-798D-4F94-AAEC-466E12AA0205}">
            <x14:dataBar minLength="0" maxLength="100" border="1" gradient="0">
              <x14:cfvo type="autoMin"/>
              <x14:cfvo type="autoMax"/>
              <x14:borderColor theme="0"/>
              <x14:negativeFillColor rgb="FFFF0000"/>
              <x14:axisColor rgb="FF000000"/>
            </x14:dataBar>
          </x14:cfRule>
          <xm:sqref>C2:C7</xm:sqref>
        </x14:conditionalFormatting>
        <x14:conditionalFormatting xmlns:xm="http://schemas.microsoft.com/office/excel/2006/main">
          <x14:cfRule type="dataBar" id="{70CD8F6C-B0D1-4D82-BDBB-46E7F422219C}">
            <x14:dataBar minLength="0" maxLength="100" gradient="0" axisPosition="middle">
              <x14:cfvo type="autoMin"/>
              <x14:cfvo type="autoMax"/>
              <x14:negativeFillColor rgb="FF427FE2"/>
              <x14:axisColor rgb="FF000000"/>
            </x14:dataBar>
          </x14:cfRule>
          <xm:sqref>J2:J7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BBDA-3556-419C-B761-2AAE2E2E876C}">
  <dimension ref="A1:M17"/>
  <sheetViews>
    <sheetView showGridLines="0" workbookViewId="0">
      <selection activeCell="G14" sqref="G14"/>
    </sheetView>
  </sheetViews>
  <sheetFormatPr defaultColWidth="11.21875" defaultRowHeight="25.05" customHeight="1"/>
  <cols>
    <col min="1" max="1" width="6.109375" style="1" customWidth="1"/>
    <col min="2" max="2" width="15.5546875" style="1" customWidth="1"/>
    <col min="3" max="3" width="17.5546875" style="1" customWidth="1"/>
    <col min="4" max="4" width="17.21875" style="1" customWidth="1"/>
    <col min="5" max="5" width="16" style="1" customWidth="1"/>
    <col min="6" max="6" width="18.109375" style="1" customWidth="1"/>
    <col min="7" max="7" width="17" style="1" customWidth="1"/>
    <col min="8" max="8" width="14.88671875" style="1" customWidth="1"/>
    <col min="9" max="9" width="16.88671875" style="1" customWidth="1"/>
    <col min="10" max="10" width="17.6640625" style="1" customWidth="1"/>
    <col min="11" max="16384" width="11.21875" style="1"/>
  </cols>
  <sheetData>
    <row r="1" spans="1:13" ht="42" customHeight="1">
      <c r="A1" s="9"/>
      <c r="B1" s="9" t="s">
        <v>18</v>
      </c>
      <c r="C1" s="9"/>
    </row>
    <row r="2" spans="1:13" ht="19.2" customHeight="1" thickBot="1">
      <c r="A2"/>
      <c r="B2" t="s">
        <v>36</v>
      </c>
      <c r="C2"/>
      <c r="K2" s="14" t="s">
        <v>19</v>
      </c>
      <c r="L2" s="15"/>
      <c r="M2" s="15"/>
    </row>
    <row r="3" spans="1:13" ht="25.05" customHeight="1" thickTop="1" thickBot="1">
      <c r="B3" s="5" t="s">
        <v>11</v>
      </c>
      <c r="C3" s="5" t="s">
        <v>34</v>
      </c>
      <c r="D3" s="5" t="s">
        <v>12</v>
      </c>
      <c r="E3" s="5" t="s">
        <v>13</v>
      </c>
      <c r="F3" s="5" t="s">
        <v>35</v>
      </c>
      <c r="G3" s="5" t="s">
        <v>14</v>
      </c>
      <c r="H3" s="5" t="s">
        <v>13</v>
      </c>
      <c r="I3" s="5" t="s">
        <v>15</v>
      </c>
      <c r="J3" s="5"/>
      <c r="K3" s="5" t="s">
        <v>16</v>
      </c>
      <c r="L3" s="5" t="s">
        <v>17</v>
      </c>
      <c r="M3" s="5"/>
    </row>
    <row r="4" spans="1:13" ht="25.05" customHeight="1" thickTop="1">
      <c r="B4" s="1" t="s">
        <v>20</v>
      </c>
      <c r="C4" s="1">
        <v>678</v>
      </c>
      <c r="D4" s="1">
        <v>7</v>
      </c>
      <c r="E4" s="1">
        <v>7</v>
      </c>
      <c r="F4" s="1">
        <v>67483</v>
      </c>
      <c r="G4" s="1">
        <v>4</v>
      </c>
      <c r="H4" s="1">
        <v>4</v>
      </c>
      <c r="I4" s="1">
        <v>13</v>
      </c>
      <c r="J4" s="1">
        <v>13</v>
      </c>
      <c r="K4" s="1">
        <v>12</v>
      </c>
      <c r="L4" s="1">
        <v>20</v>
      </c>
      <c r="M4" s="1">
        <v>20</v>
      </c>
    </row>
    <row r="5" spans="1:13" ht="25.05" customHeight="1">
      <c r="B5" s="7" t="s">
        <v>21</v>
      </c>
      <c r="C5" s="1">
        <v>356</v>
      </c>
      <c r="D5" s="1">
        <v>5</v>
      </c>
      <c r="E5" s="1">
        <v>5</v>
      </c>
      <c r="F5" s="1">
        <v>73457</v>
      </c>
      <c r="G5" s="1">
        <v>6</v>
      </c>
      <c r="H5" s="1">
        <v>6</v>
      </c>
      <c r="I5" s="1">
        <v>24</v>
      </c>
      <c r="J5" s="1">
        <v>24</v>
      </c>
      <c r="K5" s="1">
        <v>42</v>
      </c>
      <c r="L5" s="1">
        <v>24</v>
      </c>
      <c r="M5" s="1">
        <v>24</v>
      </c>
    </row>
    <row r="6" spans="1:13" ht="25.05" customHeight="1">
      <c r="B6" s="7" t="s">
        <v>22</v>
      </c>
      <c r="C6" s="1">
        <v>357</v>
      </c>
      <c r="D6" s="1">
        <v>6</v>
      </c>
      <c r="E6" s="1">
        <v>6</v>
      </c>
      <c r="F6" s="1">
        <v>45622</v>
      </c>
      <c r="G6" s="1">
        <v>4</v>
      </c>
      <c r="H6" s="1">
        <v>4</v>
      </c>
      <c r="I6" s="1">
        <v>12</v>
      </c>
      <c r="J6" s="1">
        <v>12</v>
      </c>
      <c r="K6" s="1">
        <v>12</v>
      </c>
      <c r="L6" s="1">
        <v>24</v>
      </c>
      <c r="M6" s="1">
        <v>24</v>
      </c>
    </row>
    <row r="7" spans="1:13" ht="25.05" customHeight="1">
      <c r="B7" s="7" t="s">
        <v>23</v>
      </c>
      <c r="C7" s="1">
        <v>357</v>
      </c>
      <c r="D7" s="1">
        <v>10</v>
      </c>
      <c r="E7" s="1">
        <v>10</v>
      </c>
      <c r="F7" s="1">
        <v>65732</v>
      </c>
      <c r="G7" s="1">
        <v>0</v>
      </c>
      <c r="H7" s="1">
        <v>0</v>
      </c>
      <c r="I7" s="1">
        <v>10</v>
      </c>
      <c r="J7" s="1">
        <v>10</v>
      </c>
      <c r="K7" s="1">
        <v>34</v>
      </c>
      <c r="L7" s="1">
        <v>21</v>
      </c>
      <c r="M7" s="1">
        <v>21</v>
      </c>
    </row>
    <row r="8" spans="1:13" ht="25.05" customHeight="1">
      <c r="B8" s="7" t="s">
        <v>24</v>
      </c>
      <c r="C8" s="1">
        <v>345</v>
      </c>
      <c r="D8" s="1">
        <v>12</v>
      </c>
      <c r="E8" s="1">
        <v>12</v>
      </c>
      <c r="F8" s="1">
        <v>95675</v>
      </c>
      <c r="G8" s="1">
        <v>6</v>
      </c>
      <c r="H8" s="1">
        <v>6</v>
      </c>
      <c r="I8" s="1">
        <v>12</v>
      </c>
      <c r="J8" s="1">
        <v>12</v>
      </c>
      <c r="K8" s="1">
        <v>24</v>
      </c>
      <c r="L8" s="1">
        <v>15</v>
      </c>
      <c r="M8" s="1">
        <v>15</v>
      </c>
    </row>
    <row r="9" spans="1:13" ht="25.05" customHeight="1">
      <c r="B9" s="7" t="s">
        <v>25</v>
      </c>
      <c r="C9" s="1">
        <v>733</v>
      </c>
      <c r="D9" s="1">
        <v>29</v>
      </c>
      <c r="E9" s="1">
        <v>29</v>
      </c>
      <c r="F9" s="1">
        <v>34522</v>
      </c>
      <c r="G9" s="1">
        <v>8</v>
      </c>
      <c r="H9" s="1">
        <v>8</v>
      </c>
      <c r="I9" s="1">
        <v>6</v>
      </c>
      <c r="J9" s="1">
        <v>6</v>
      </c>
      <c r="K9" s="1">
        <v>24</v>
      </c>
      <c r="L9" s="1">
        <v>17</v>
      </c>
      <c r="M9" s="1">
        <v>17</v>
      </c>
    </row>
    <row r="10" spans="1:13" ht="25.05" customHeight="1">
      <c r="B10" s="7" t="s">
        <v>26</v>
      </c>
      <c r="C10" s="1">
        <v>246</v>
      </c>
      <c r="D10" s="1">
        <v>0</v>
      </c>
      <c r="E10" s="1">
        <v>0</v>
      </c>
      <c r="F10" s="1">
        <v>32466</v>
      </c>
      <c r="G10" s="1">
        <v>1</v>
      </c>
      <c r="H10" s="1">
        <v>1</v>
      </c>
      <c r="I10" s="1">
        <v>15</v>
      </c>
      <c r="J10" s="1">
        <v>15</v>
      </c>
      <c r="K10" s="1">
        <v>12</v>
      </c>
      <c r="L10" s="1">
        <v>16</v>
      </c>
      <c r="M10" s="1">
        <v>16</v>
      </c>
    </row>
    <row r="11" spans="1:13" ht="25.05" customHeight="1">
      <c r="B11" s="7" t="s">
        <v>27</v>
      </c>
      <c r="C11" s="1">
        <v>734</v>
      </c>
      <c r="D11" s="1">
        <v>4</v>
      </c>
      <c r="E11" s="1">
        <v>4</v>
      </c>
      <c r="F11" s="1">
        <v>22135</v>
      </c>
      <c r="G11" s="1">
        <v>2</v>
      </c>
      <c r="H11" s="1">
        <v>2</v>
      </c>
      <c r="I11" s="1">
        <v>3</v>
      </c>
      <c r="J11" s="1">
        <v>3</v>
      </c>
      <c r="K11" s="1">
        <v>25</v>
      </c>
      <c r="L11" s="1">
        <v>16</v>
      </c>
      <c r="M11" s="1">
        <v>16</v>
      </c>
    </row>
    <row r="12" spans="1:13" ht="25.05" customHeight="1">
      <c r="B12" s="7" t="s">
        <v>28</v>
      </c>
      <c r="C12" s="1">
        <v>234</v>
      </c>
      <c r="D12" s="1">
        <v>5</v>
      </c>
      <c r="E12" s="1">
        <v>5</v>
      </c>
      <c r="F12" s="1">
        <v>12235</v>
      </c>
      <c r="G12" s="1">
        <v>3</v>
      </c>
      <c r="H12" s="1">
        <v>3</v>
      </c>
      <c r="I12" s="1">
        <v>4</v>
      </c>
      <c r="J12" s="1">
        <v>4</v>
      </c>
      <c r="K12" s="1">
        <v>27</v>
      </c>
      <c r="L12" s="1">
        <v>12</v>
      </c>
      <c r="M12" s="1">
        <v>12</v>
      </c>
    </row>
    <row r="13" spans="1:13" ht="25.05" customHeight="1">
      <c r="B13" s="7" t="s">
        <v>29</v>
      </c>
      <c r="C13" s="1">
        <v>735</v>
      </c>
      <c r="D13" s="1">
        <v>0</v>
      </c>
      <c r="E13" s="1">
        <v>0</v>
      </c>
      <c r="F13" s="1">
        <v>63222</v>
      </c>
      <c r="G13" s="1">
        <v>0</v>
      </c>
      <c r="H13" s="1">
        <v>0</v>
      </c>
      <c r="I13" s="1">
        <v>2</v>
      </c>
      <c r="J13" s="1">
        <v>2</v>
      </c>
      <c r="K13" s="1">
        <v>16</v>
      </c>
      <c r="L13" s="1">
        <v>12</v>
      </c>
      <c r="M13" s="1">
        <v>12</v>
      </c>
    </row>
    <row r="14" spans="1:13" ht="25.05" customHeight="1">
      <c r="B14" s="7" t="s">
        <v>30</v>
      </c>
      <c r="C14" s="1">
        <v>675</v>
      </c>
      <c r="D14" s="1">
        <v>12</v>
      </c>
      <c r="E14" s="1">
        <v>12</v>
      </c>
      <c r="F14" s="1">
        <v>23567</v>
      </c>
      <c r="G14" s="1">
        <v>7</v>
      </c>
      <c r="H14" s="1">
        <v>7</v>
      </c>
      <c r="I14" s="1">
        <v>6</v>
      </c>
      <c r="J14" s="1">
        <v>6</v>
      </c>
      <c r="K14" s="1">
        <v>10</v>
      </c>
      <c r="L14" s="1">
        <v>23</v>
      </c>
      <c r="M14" s="1">
        <v>23</v>
      </c>
    </row>
    <row r="15" spans="1:13" ht="25.05" customHeight="1">
      <c r="B15" s="7" t="s">
        <v>31</v>
      </c>
      <c r="C15" s="1">
        <v>567</v>
      </c>
      <c r="D15" s="1">
        <v>5</v>
      </c>
      <c r="E15" s="1">
        <v>5</v>
      </c>
      <c r="F15" s="1">
        <v>32135</v>
      </c>
      <c r="G15" s="1">
        <v>5</v>
      </c>
      <c r="H15" s="1">
        <v>5</v>
      </c>
      <c r="I15" s="1">
        <v>4</v>
      </c>
      <c r="J15" s="1">
        <v>4</v>
      </c>
      <c r="K15" s="1">
        <v>14</v>
      </c>
      <c r="L15" s="1">
        <v>34</v>
      </c>
      <c r="M15" s="1">
        <v>34</v>
      </c>
    </row>
    <row r="16" spans="1:13" ht="25.05" customHeight="1">
      <c r="B16" s="7" t="s">
        <v>32</v>
      </c>
      <c r="C16" s="1">
        <v>975</v>
      </c>
      <c r="D16" s="1">
        <v>0</v>
      </c>
      <c r="E16" s="1">
        <v>0</v>
      </c>
      <c r="F16" s="1">
        <v>68564</v>
      </c>
      <c r="G16" s="1">
        <v>4</v>
      </c>
      <c r="H16" s="1">
        <v>4</v>
      </c>
      <c r="I16" s="1">
        <v>21</v>
      </c>
      <c r="J16" s="1">
        <v>21</v>
      </c>
      <c r="K16" s="1">
        <v>19</v>
      </c>
      <c r="L16" s="1">
        <v>14</v>
      </c>
      <c r="M16" s="1">
        <v>14</v>
      </c>
    </row>
    <row r="17" spans="2:13" ht="25.05" customHeight="1">
      <c r="B17" s="8" t="s">
        <v>33</v>
      </c>
      <c r="C17" s="6">
        <v>356</v>
      </c>
      <c r="D17" s="6">
        <v>12</v>
      </c>
      <c r="E17" s="6">
        <v>12</v>
      </c>
      <c r="F17" s="6">
        <v>84563</v>
      </c>
      <c r="G17" s="6">
        <v>3</v>
      </c>
      <c r="H17" s="6">
        <v>3</v>
      </c>
      <c r="I17" s="6">
        <v>12</v>
      </c>
      <c r="J17" s="6">
        <v>12</v>
      </c>
      <c r="K17" s="6">
        <v>12</v>
      </c>
      <c r="L17" s="6">
        <v>32</v>
      </c>
      <c r="M17" s="6">
        <v>32</v>
      </c>
    </row>
  </sheetData>
  <mergeCells count="1">
    <mergeCell ref="K2:M2"/>
  </mergeCells>
  <phoneticPr fontId="2" type="noConversion"/>
  <conditionalFormatting sqref="E4:E17">
    <cfRule type="iconSet" priority="4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:H17">
    <cfRule type="iconSet" priority="3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4:J17">
    <cfRule type="dataBar" priority="2">
      <dataBar showValue="0">
        <cfvo type="min"/>
        <cfvo type="max"/>
        <color theme="1" tint="0.34998626667073579"/>
      </dataBar>
      <extLst>
        <ext xmlns:x14="http://schemas.microsoft.com/office/spreadsheetml/2009/9/main" uri="{B025F937-C7B1-47D3-B67F-A62EFF666E3E}">
          <x14:id>{7A0948C6-57E6-4C03-9823-B97CF6799BA9}</x14:id>
        </ext>
      </extLst>
    </cfRule>
  </conditionalFormatting>
  <conditionalFormatting sqref="M4:M17">
    <cfRule type="dataBar" priority="1">
      <dataBar showValue="0">
        <cfvo type="min"/>
        <cfvo type="max"/>
        <color theme="2" tint="-0.249977111117893"/>
      </dataBar>
      <extLst>
        <ext xmlns:x14="http://schemas.microsoft.com/office/spreadsheetml/2009/9/main" uri="{B025F937-C7B1-47D3-B67F-A62EFF666E3E}">
          <x14:id>{8381A1DD-5A3C-4597-83C2-AA5AF9A617ED}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0948C6-57E6-4C03-9823-B97CF6799BA9}">
            <x14:dataBar minLength="0" maxLength="100" border="1" gradient="0">
              <x14:cfvo type="autoMin"/>
              <x14:cfvo type="autoMax"/>
              <x14:borderColor theme="0"/>
              <x14:negativeFillColor rgb="FFFF0000"/>
              <x14:axisColor rgb="FF000000"/>
            </x14:dataBar>
          </x14:cfRule>
          <xm:sqref>J4:J17</xm:sqref>
        </x14:conditionalFormatting>
        <x14:conditionalFormatting xmlns:xm="http://schemas.microsoft.com/office/excel/2006/main">
          <x14:cfRule type="dataBar" id="{8381A1DD-5A3C-4597-83C2-AA5AF9A617ED}">
            <x14:dataBar minLength="0" maxLength="100" border="1" gradient="0">
              <x14:cfvo type="autoMin"/>
              <x14:cfvo type="autoMax"/>
              <x14:borderColor theme="0"/>
              <x14:negativeFillColor rgb="FFFF0000"/>
              <x14:axisColor rgb="FF000000"/>
            </x14:dataBar>
          </x14:cfRule>
          <xm:sqref>M4:M17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2FF4-D9CD-4057-BB9F-8FB5FF8A6F70}">
  <dimension ref="A1:I9"/>
  <sheetViews>
    <sheetView tabSelected="1" workbookViewId="0">
      <selection activeCell="D10" sqref="D10"/>
    </sheetView>
  </sheetViews>
  <sheetFormatPr defaultColWidth="15.44140625" defaultRowHeight="25.05" customHeight="1"/>
  <cols>
    <col min="1" max="1" width="16.77734375" customWidth="1"/>
    <col min="2" max="2" width="19.5546875" customWidth="1"/>
    <col min="3" max="3" width="29.33203125" customWidth="1"/>
    <col min="4" max="4" width="15.88671875" customWidth="1"/>
    <col min="7" max="7" width="16.77734375" customWidth="1"/>
    <col min="8" max="8" width="19.5546875" customWidth="1"/>
    <col min="9" max="9" width="29.33203125" customWidth="1"/>
  </cols>
  <sheetData>
    <row r="1" spans="1:9" ht="25.05" customHeight="1">
      <c r="A1" s="2" t="s">
        <v>0</v>
      </c>
      <c r="B1" s="3" t="s">
        <v>1</v>
      </c>
      <c r="C1" s="3" t="s">
        <v>2</v>
      </c>
      <c r="G1" s="2" t="s">
        <v>0</v>
      </c>
      <c r="H1" s="3" t="s">
        <v>1</v>
      </c>
      <c r="I1" s="3" t="s">
        <v>2</v>
      </c>
    </row>
    <row r="2" spans="1:9" ht="25.05" customHeight="1">
      <c r="A2" s="1" t="s">
        <v>3</v>
      </c>
      <c r="B2" s="4">
        <v>0.7</v>
      </c>
      <c r="C2" s="4" t="e">
        <f ca="1">[1]!piechart(B2,,,0.75)</f>
        <v>#NAME?</v>
      </c>
      <c r="D2" t="e">
        <f ca="1">[1]!varichart(B2,,0,1)</f>
        <v>#NAME?</v>
      </c>
      <c r="G2" s="1" t="s">
        <v>3</v>
      </c>
      <c r="H2" s="4">
        <v>0.7</v>
      </c>
      <c r="I2" s="4"/>
    </row>
    <row r="3" spans="1:9" ht="25.05" customHeight="1">
      <c r="A3" s="1" t="s">
        <v>4</v>
      </c>
      <c r="B3" s="4">
        <v>0.5</v>
      </c>
      <c r="C3" s="4" t="e">
        <f ca="1">[1]!piechart(B3,,,0.75)</f>
        <v>#NAME?</v>
      </c>
      <c r="D3" t="e">
        <f ca="1">[1]!varichart(B3,,0,1)</f>
        <v>#NAME?</v>
      </c>
      <c r="G3" s="1" t="s">
        <v>4</v>
      </c>
      <c r="H3" s="4">
        <v>-0.5</v>
      </c>
      <c r="I3" s="4"/>
    </row>
    <row r="4" spans="1:9" ht="25.05" customHeight="1">
      <c r="A4" s="1" t="s">
        <v>5</v>
      </c>
      <c r="B4" s="4">
        <v>0.6</v>
      </c>
      <c r="C4" s="4" t="e">
        <f ca="1">[1]!piechart(B4,,,0.75)</f>
        <v>#NAME?</v>
      </c>
      <c r="D4" t="e">
        <f ca="1">[1]!varichart(B4,,0,1)</f>
        <v>#NAME?</v>
      </c>
      <c r="G4" s="1" t="s">
        <v>5</v>
      </c>
      <c r="H4" s="4">
        <v>0.6</v>
      </c>
      <c r="I4" s="4"/>
    </row>
    <row r="5" spans="1:9" ht="25.05" customHeight="1">
      <c r="A5" s="1" t="s">
        <v>6</v>
      </c>
      <c r="B5" s="4">
        <v>0.2</v>
      </c>
      <c r="C5" s="4" t="e">
        <f ca="1">[1]!piechart(B5,,,0.75)</f>
        <v>#NAME?</v>
      </c>
      <c r="D5" t="e">
        <f ca="1">[1]!varichart(B5,,0,1)</f>
        <v>#NAME?</v>
      </c>
      <c r="G5" s="1" t="s">
        <v>6</v>
      </c>
      <c r="H5" s="4">
        <v>-0.2</v>
      </c>
      <c r="I5" s="4"/>
    </row>
    <row r="6" spans="1:9" ht="25.05" customHeight="1">
      <c r="A6" s="1" t="s">
        <v>7</v>
      </c>
      <c r="B6" s="4">
        <v>0.3</v>
      </c>
      <c r="C6" s="4" t="e">
        <f ca="1">[1]!piechart(B6,,,0.75)</f>
        <v>#NAME?</v>
      </c>
      <c r="D6" t="e">
        <f ca="1">[1]!varichart(B6,,0,1)</f>
        <v>#NAME?</v>
      </c>
      <c r="G6" s="1" t="s">
        <v>7</v>
      </c>
      <c r="H6" s="4">
        <v>0.3</v>
      </c>
      <c r="I6" s="4"/>
    </row>
    <row r="7" spans="1:9" ht="25.05" customHeight="1">
      <c r="A7" s="1" t="s">
        <v>8</v>
      </c>
      <c r="B7" s="4">
        <v>0.5</v>
      </c>
      <c r="C7" s="4" t="e">
        <f ca="1">[1]!piechart(B7,,,0.75)</f>
        <v>#NAME?</v>
      </c>
      <c r="D7" t="e">
        <f ca="1">[1]!varichart(B7,,0,1)</f>
        <v>#NAME?</v>
      </c>
      <c r="G7" s="1" t="s">
        <v>8</v>
      </c>
      <c r="H7" s="4">
        <v>0.5</v>
      </c>
      <c r="I7" s="4"/>
    </row>
    <row r="9" spans="1:9" ht="25.05" customHeight="1">
      <c r="A9" t="e">
        <f ca="1">[1]!barchart(B2:B7)</f>
        <v>#NAME?</v>
      </c>
    </row>
  </sheetData>
  <phoneticPr fontId="2" type="noConversion"/>
  <pageMargins left="0.7" right="0.7" top="0.75" bottom="0.75" header="0.3" footer="0.3"/>
  <pageSetup paperSize="9" orientation="portrait" horizontalDpi="18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D5E-A4B0-4DCB-83CC-F6CAE0585968}">
  <dimension ref="A1:J15"/>
  <sheetViews>
    <sheetView topLeftCell="B1" zoomScaleNormal="100" workbookViewId="0">
      <selection activeCell="F8" sqref="F8"/>
    </sheetView>
  </sheetViews>
  <sheetFormatPr defaultColWidth="16.5546875" defaultRowHeight="25.05" customHeight="1"/>
  <cols>
    <col min="1" max="1" width="16.77734375" customWidth="1"/>
    <col min="2" max="2" width="19.5546875" customWidth="1"/>
    <col min="3" max="3" width="29.33203125" customWidth="1"/>
    <col min="7" max="7" width="16.77734375" customWidth="1"/>
    <col min="8" max="8" width="19.5546875" customWidth="1"/>
    <col min="9" max="9" width="24.109375" customWidth="1"/>
    <col min="10" max="10" width="24" customWidth="1"/>
  </cols>
  <sheetData>
    <row r="1" spans="1:10" ht="25.05" customHeight="1">
      <c r="A1" s="2" t="s">
        <v>0</v>
      </c>
      <c r="B1" s="3" t="s">
        <v>1</v>
      </c>
      <c r="C1" s="3" t="s">
        <v>2</v>
      </c>
      <c r="G1" s="2" t="s">
        <v>0</v>
      </c>
      <c r="H1" s="3" t="s">
        <v>1</v>
      </c>
      <c r="I1" s="3" t="s">
        <v>2</v>
      </c>
    </row>
    <row r="2" spans="1:10" ht="25.05" customHeight="1">
      <c r="A2" s="1" t="s">
        <v>3</v>
      </c>
      <c r="B2" s="4">
        <v>0.2</v>
      </c>
      <c r="C2" s="10" t="str">
        <f>REPT("g",B2*100/2)</f>
        <v>gggggggggg</v>
      </c>
      <c r="G2" s="1" t="s">
        <v>3</v>
      </c>
      <c r="H2" s="4">
        <v>0.2</v>
      </c>
      <c r="I2" s="12" t="s">
        <v>37</v>
      </c>
    </row>
    <row r="3" spans="1:10" ht="25.05" customHeight="1">
      <c r="A3" s="1" t="s">
        <v>4</v>
      </c>
      <c r="B3" s="4">
        <v>0.19</v>
      </c>
      <c r="C3" s="10" t="str">
        <f t="shared" ref="C3:C7" si="0">REPT("g",B3*100/2)</f>
        <v>ggggggggg</v>
      </c>
      <c r="G3" s="1" t="s">
        <v>4</v>
      </c>
      <c r="H3" s="4">
        <v>-0.19</v>
      </c>
      <c r="I3" s="11" t="s">
        <v>38</v>
      </c>
    </row>
    <row r="4" spans="1:10" ht="25.05" customHeight="1">
      <c r="A4" s="1" t="s">
        <v>5</v>
      </c>
      <c r="B4" s="4">
        <v>0.1</v>
      </c>
      <c r="C4" s="10" t="str">
        <f t="shared" si="0"/>
        <v>ggggg</v>
      </c>
      <c r="G4" s="1" t="s">
        <v>5</v>
      </c>
      <c r="H4" s="4">
        <v>0.1</v>
      </c>
      <c r="I4" s="12" t="s">
        <v>39</v>
      </c>
    </row>
    <row r="5" spans="1:10" ht="25.05" customHeight="1">
      <c r="A5" s="1" t="s">
        <v>6</v>
      </c>
      <c r="B5" s="4">
        <v>0.22</v>
      </c>
      <c r="C5" s="10" t="str">
        <f t="shared" si="0"/>
        <v>ggggggggggg</v>
      </c>
      <c r="G5" s="1" t="s">
        <v>6</v>
      </c>
      <c r="H5" s="4">
        <v>-0.2</v>
      </c>
      <c r="I5" s="11" t="s">
        <v>37</v>
      </c>
    </row>
    <row r="6" spans="1:10" ht="25.05" customHeight="1">
      <c r="A6" s="1" t="s">
        <v>7</v>
      </c>
      <c r="B6" s="4">
        <v>0.25</v>
      </c>
      <c r="C6" s="10" t="str">
        <f t="shared" si="0"/>
        <v>gggggggggggg</v>
      </c>
      <c r="G6" s="1" t="s">
        <v>7</v>
      </c>
      <c r="H6" s="4">
        <v>0.26</v>
      </c>
      <c r="I6" s="12" t="s">
        <v>45</v>
      </c>
    </row>
    <row r="7" spans="1:10" ht="25.05" customHeight="1">
      <c r="A7" s="1" t="s">
        <v>8</v>
      </c>
      <c r="B7" s="4">
        <v>0.12</v>
      </c>
      <c r="C7" s="10" t="str">
        <f t="shared" si="0"/>
        <v>gggggg</v>
      </c>
      <c r="G7" s="1" t="s">
        <v>8</v>
      </c>
      <c r="H7" s="4">
        <v>0.12</v>
      </c>
      <c r="I7" s="12" t="s">
        <v>40</v>
      </c>
    </row>
    <row r="9" spans="1:10" ht="25.05" customHeight="1">
      <c r="G9" s="2" t="s">
        <v>0</v>
      </c>
      <c r="H9" s="3" t="s">
        <v>1</v>
      </c>
      <c r="I9" s="16" t="s">
        <v>2</v>
      </c>
      <c r="J9" s="16"/>
    </row>
    <row r="10" spans="1:10" ht="25.05" customHeight="1">
      <c r="G10" s="1" t="s">
        <v>3</v>
      </c>
      <c r="H10" s="4">
        <v>0.2</v>
      </c>
      <c r="J10" s="12" t="s">
        <v>43</v>
      </c>
    </row>
    <row r="11" spans="1:10" ht="25.05" customHeight="1">
      <c r="G11" s="1" t="s">
        <v>4</v>
      </c>
      <c r="H11" s="4">
        <v>-0.19</v>
      </c>
      <c r="I11" s="13" t="s">
        <v>38</v>
      </c>
    </row>
    <row r="12" spans="1:10" ht="25.05" customHeight="1">
      <c r="G12" s="1" t="s">
        <v>5</v>
      </c>
      <c r="H12" s="4">
        <v>0.1</v>
      </c>
      <c r="J12" s="12" t="s">
        <v>39</v>
      </c>
    </row>
    <row r="13" spans="1:10" ht="25.05" customHeight="1">
      <c r="G13" s="1" t="s">
        <v>6</v>
      </c>
      <c r="H13" s="4">
        <v>-0.2</v>
      </c>
      <c r="I13" s="13" t="s">
        <v>44</v>
      </c>
    </row>
    <row r="14" spans="1:10" ht="25.05" customHeight="1">
      <c r="G14" s="1" t="s">
        <v>7</v>
      </c>
      <c r="H14" s="4">
        <v>0.22</v>
      </c>
      <c r="J14" s="12" t="s">
        <v>42</v>
      </c>
    </row>
    <row r="15" spans="1:10" ht="25.05" customHeight="1">
      <c r="G15" s="1" t="s">
        <v>8</v>
      </c>
      <c r="H15" s="4">
        <v>0.12</v>
      </c>
      <c r="J15" s="12" t="s">
        <v>41</v>
      </c>
    </row>
  </sheetData>
  <mergeCells count="1">
    <mergeCell ref="I9:J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13</vt:i4>
      </vt:variant>
    </vt:vector>
  </HeadingPairs>
  <TitlesOfParts>
    <vt:vector size="17" baseType="lpstr">
      <vt:lpstr>条件格式</vt:lpstr>
      <vt:lpstr>Sheet4</vt:lpstr>
      <vt:lpstr>Sparklines</vt:lpstr>
      <vt:lpstr>REPT函数</vt:lpstr>
      <vt:lpstr>Sparklines!SprkR2C3</vt:lpstr>
      <vt:lpstr>Sparklines!SprkR2C4</vt:lpstr>
      <vt:lpstr>Sparklines!SprkR3C3</vt:lpstr>
      <vt:lpstr>Sparklines!SprkR3C4</vt:lpstr>
      <vt:lpstr>Sparklines!SprkR4C3</vt:lpstr>
      <vt:lpstr>Sparklines!SprkR4C4</vt:lpstr>
      <vt:lpstr>Sparklines!SprkR5C3</vt:lpstr>
      <vt:lpstr>Sparklines!SprkR5C4</vt:lpstr>
      <vt:lpstr>Sparklines!SprkR6C3</vt:lpstr>
      <vt:lpstr>Sparklines!SprkR6C4</vt:lpstr>
      <vt:lpstr>Sparklines!SprkR7C3</vt:lpstr>
      <vt:lpstr>Sparklines!SprkR7C4</vt:lpstr>
      <vt:lpstr>Sparklines!SprkR9C1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2018-08-15T03:43:03Z</dcterms:created>
  <dcterms:modified xsi:type="dcterms:W3CDTF">2024-11-03T15:28:40Z</dcterms:modified>
</cp:coreProperties>
</file>