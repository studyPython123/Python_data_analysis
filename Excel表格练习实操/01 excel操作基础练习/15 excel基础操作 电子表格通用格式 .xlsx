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1 excel操作基础练习\"/>
    </mc:Choice>
  </mc:AlternateContent>
  <xr:revisionPtr revIDLastSave="0" documentId="13_ncr:1_{80F28960-EE0C-4C4C-BF2C-4927CA749A7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通用格式表" sheetId="1" r:id="rId1"/>
    <sheet name="求平均值" sheetId="6" r:id="rId2"/>
    <sheet name="没有序号" sheetId="7" r:id="rId3"/>
    <sheet name="乱加表头" sheetId="8" r:id="rId4"/>
    <sheet name="乱用合计" sheetId="9" r:id="rId5"/>
    <sheet name="该有0就有0" sheetId="11" r:id="rId6"/>
    <sheet name="故意空行" sheetId="12" r:id="rId7"/>
    <sheet name="数字文本化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L22" i="9"/>
  <c r="G22" i="6" l="1"/>
</calcChain>
</file>

<file path=xl/sharedStrings.xml><?xml version="1.0" encoding="utf-8"?>
<sst xmlns="http://schemas.openxmlformats.org/spreadsheetml/2006/main" count="1332" uniqueCount="94">
  <si>
    <t>员工ID</t>
    <phoneticPr fontId="1" type="noConversion"/>
  </si>
  <si>
    <t>序号</t>
    <phoneticPr fontId="1" type="noConversion"/>
  </si>
  <si>
    <t>姓名</t>
    <phoneticPr fontId="1" type="noConversion"/>
  </si>
  <si>
    <t>部门</t>
    <phoneticPr fontId="1" type="noConversion"/>
  </si>
  <si>
    <t>职位</t>
    <phoneticPr fontId="1" type="noConversion"/>
  </si>
  <si>
    <t>性别</t>
    <phoneticPr fontId="1" type="noConversion"/>
  </si>
  <si>
    <t>年龄</t>
    <phoneticPr fontId="1" type="noConversion"/>
  </si>
  <si>
    <t>籍贯</t>
    <phoneticPr fontId="1" type="noConversion"/>
  </si>
  <si>
    <t>婚否</t>
    <phoneticPr fontId="1" type="noConversion"/>
  </si>
  <si>
    <t>生日</t>
    <phoneticPr fontId="1" type="noConversion"/>
  </si>
  <si>
    <t>ACK01</t>
    <phoneticPr fontId="1" type="noConversion"/>
  </si>
  <si>
    <t>ACK02</t>
  </si>
  <si>
    <t>ACK03</t>
  </si>
  <si>
    <t>ACK04</t>
  </si>
  <si>
    <t>ACK05</t>
  </si>
  <si>
    <t>ACK06</t>
  </si>
  <si>
    <t>ACK07</t>
  </si>
  <si>
    <t>ACK08</t>
  </si>
  <si>
    <t>ACK09</t>
  </si>
  <si>
    <t>ACK10</t>
  </si>
  <si>
    <t>ACK11</t>
  </si>
  <si>
    <t>ACK12</t>
  </si>
  <si>
    <t>ACK13</t>
  </si>
  <si>
    <t>ACK14</t>
  </si>
  <si>
    <t>ACK15</t>
  </si>
  <si>
    <t>ACK16</t>
  </si>
  <si>
    <t>ACK17</t>
  </si>
  <si>
    <t>ACK18</t>
  </si>
  <si>
    <t>ACK19</t>
  </si>
  <si>
    <t>ACK20</t>
  </si>
  <si>
    <t>程天赐</t>
    <phoneticPr fontId="1" type="noConversion"/>
  </si>
  <si>
    <t>黄涌康</t>
    <phoneticPr fontId="1" type="noConversion"/>
  </si>
  <si>
    <t>罗晓云</t>
    <phoneticPr fontId="1" type="noConversion"/>
  </si>
  <si>
    <t>肖小天</t>
    <phoneticPr fontId="1" type="noConversion"/>
  </si>
  <si>
    <t>陈杜</t>
    <phoneticPr fontId="1" type="noConversion"/>
  </si>
  <si>
    <t>杨晓栋</t>
    <phoneticPr fontId="1" type="noConversion"/>
  </si>
  <si>
    <t>林肖</t>
    <phoneticPr fontId="1" type="noConversion"/>
  </si>
  <si>
    <t>曾楷</t>
    <phoneticPr fontId="1" type="noConversion"/>
  </si>
  <si>
    <t>黄石</t>
    <phoneticPr fontId="1" type="noConversion"/>
  </si>
  <si>
    <t>许萱</t>
    <phoneticPr fontId="1" type="noConversion"/>
  </si>
  <si>
    <t>黄淑仪</t>
    <phoneticPr fontId="1" type="noConversion"/>
  </si>
  <si>
    <t>张晓娜</t>
    <phoneticPr fontId="1" type="noConversion"/>
  </si>
  <si>
    <t>麦斯琪</t>
    <phoneticPr fontId="1" type="noConversion"/>
  </si>
  <si>
    <t>李云天</t>
    <phoneticPr fontId="1" type="noConversion"/>
  </si>
  <si>
    <t>欧阳雪</t>
    <phoneticPr fontId="1" type="noConversion"/>
  </si>
  <si>
    <t>沈小欣</t>
    <phoneticPr fontId="1" type="noConversion"/>
  </si>
  <si>
    <t>张全</t>
    <phoneticPr fontId="1" type="noConversion"/>
  </si>
  <si>
    <t>陈君甜</t>
    <phoneticPr fontId="1" type="noConversion"/>
  </si>
  <si>
    <t>黄淑惠</t>
    <phoneticPr fontId="1" type="noConversion"/>
  </si>
  <si>
    <t>张淑君</t>
    <phoneticPr fontId="1" type="noConversion"/>
  </si>
  <si>
    <t>销售部</t>
    <phoneticPr fontId="1" type="noConversion"/>
  </si>
  <si>
    <t>运营部</t>
    <phoneticPr fontId="1" type="noConversion"/>
  </si>
  <si>
    <t>策划部</t>
    <phoneticPr fontId="1" type="noConversion"/>
  </si>
  <si>
    <t>财务部</t>
    <phoneticPr fontId="1" type="noConversion"/>
  </si>
  <si>
    <t>电话销售</t>
    <phoneticPr fontId="1" type="noConversion"/>
  </si>
  <si>
    <t>QC</t>
    <phoneticPr fontId="1" type="noConversion"/>
  </si>
  <si>
    <t>活动运营</t>
    <phoneticPr fontId="1" type="noConversion"/>
  </si>
  <si>
    <t>用户运营</t>
    <phoneticPr fontId="1" type="noConversion"/>
  </si>
  <si>
    <t>文案编辑</t>
    <phoneticPr fontId="1" type="noConversion"/>
  </si>
  <si>
    <t>活动策划</t>
    <phoneticPr fontId="1" type="noConversion"/>
  </si>
  <si>
    <t>创意策划</t>
    <phoneticPr fontId="1" type="noConversion"/>
  </si>
  <si>
    <t>财务统计</t>
    <phoneticPr fontId="1" type="noConversion"/>
  </si>
  <si>
    <t>财务分析</t>
    <phoneticPr fontId="1" type="noConversion"/>
  </si>
  <si>
    <t>男</t>
  </si>
  <si>
    <t>男</t>
    <phoneticPr fontId="1" type="noConversion"/>
  </si>
  <si>
    <t>女</t>
  </si>
  <si>
    <t>女</t>
    <phoneticPr fontId="1" type="noConversion"/>
  </si>
  <si>
    <t>广州</t>
    <phoneticPr fontId="1" type="noConversion"/>
  </si>
  <si>
    <t>深圳</t>
    <phoneticPr fontId="1" type="noConversion"/>
  </si>
  <si>
    <t>潮州</t>
    <phoneticPr fontId="1" type="noConversion"/>
  </si>
  <si>
    <t>梅州</t>
    <phoneticPr fontId="1" type="noConversion"/>
  </si>
  <si>
    <t>长沙</t>
    <phoneticPr fontId="1" type="noConversion"/>
  </si>
  <si>
    <t>合肥</t>
    <phoneticPr fontId="1" type="noConversion"/>
  </si>
  <si>
    <t>中山</t>
    <phoneticPr fontId="1" type="noConversion"/>
  </si>
  <si>
    <t>佛山</t>
    <phoneticPr fontId="1" type="noConversion"/>
  </si>
  <si>
    <t>东莞</t>
    <phoneticPr fontId="1" type="noConversion"/>
  </si>
  <si>
    <t>上海</t>
    <phoneticPr fontId="1" type="noConversion"/>
  </si>
  <si>
    <t>香港</t>
    <phoneticPr fontId="1" type="noConversion"/>
  </si>
  <si>
    <t>未婚</t>
  </si>
  <si>
    <t>未婚</t>
    <phoneticPr fontId="1" type="noConversion"/>
  </si>
  <si>
    <t>已婚</t>
  </si>
  <si>
    <t>已婚</t>
    <phoneticPr fontId="1" type="noConversion"/>
  </si>
  <si>
    <t>文化程度</t>
    <phoneticPr fontId="1" type="noConversion"/>
  </si>
  <si>
    <t>大专</t>
  </si>
  <si>
    <t>大专</t>
    <phoneticPr fontId="1" type="noConversion"/>
  </si>
  <si>
    <t>本科</t>
  </si>
  <si>
    <t>本科</t>
    <phoneticPr fontId="1" type="noConversion"/>
  </si>
  <si>
    <t>研究生</t>
  </si>
  <si>
    <t>研究生</t>
    <phoneticPr fontId="1" type="noConversion"/>
  </si>
  <si>
    <t>职位
     岗位</t>
    <phoneticPr fontId="1" type="noConversion"/>
  </si>
  <si>
    <t>销售额</t>
    <phoneticPr fontId="1" type="noConversion"/>
  </si>
  <si>
    <t>合计</t>
    <phoneticPr fontId="1" type="noConversion"/>
  </si>
  <si>
    <t>身份证号码</t>
    <phoneticPr fontId="1" type="noConversion"/>
  </si>
  <si>
    <t>440112199408300000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</si>
</sst>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黑体"/>
      <family val="2"/>
      <charset val="134"/>
    </font>
    <font>
      <sz val="9"/>
      <name val="黑体"/>
      <family val="2"/>
      <charset val="134"/>
    </font>
    <font>
      <sz val="9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 diagonalUp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top" wrapText="1"/>
    </xf>
    <xf numFmtId="58" fontId="0" fillId="2" borderId="0" xfId="0" applyNumberFormat="1" applyFill="1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49" fontId="0" fillId="2" borderId="0" xfId="0" applyNumberFormat="1" applyFill="1">
      <alignment vertical="center"/>
    </xf>
    <xf numFmtId="49" fontId="0" fillId="2" borderId="0" xfId="0" quotePrefix="1" applyNumberFormat="1" applyFill="1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E71856-1CAE-4F10-97E9-8E51652EE90F}">
  <we:reference id="wa104142491" version="3.1.1.0" store="zh-CN" storeType="OMEX"/>
  <we:alternateReferences>
    <we:reference id="WA104142491" version="3.1.1.0" store="WA104142491" storeType="OMEX"/>
  </we:alternateReferences>
  <we:properties/>
  <we:bindings>
    <we:binding id="2DTableRange" type="matrix" appref="{2801138D-C26C-4ACA-A029-A3D58DA83A7C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opLeftCell="A4" zoomScale="130" zoomScaleNormal="130" workbookViewId="0">
      <selection activeCell="N11" sqref="N11"/>
    </sheetView>
  </sheetViews>
  <sheetFormatPr defaultRowHeight="14.4" x14ac:dyDescent="0.25"/>
  <cols>
    <col min="7" max="7" width="8.88671875" customWidth="1"/>
    <col min="10" max="10" width="9.44140625" bestFit="1" customWidth="1"/>
    <col min="11" max="11" width="13.44140625" customWidth="1"/>
  </cols>
  <sheetData>
    <row r="1" spans="1:12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82</v>
      </c>
      <c r="L1" t="s">
        <v>90</v>
      </c>
    </row>
    <row r="2" spans="1:12" x14ac:dyDescent="0.25">
      <c r="A2" s="3">
        <v>1</v>
      </c>
      <c r="B2" s="3" t="s">
        <v>10</v>
      </c>
      <c r="C2" s="3" t="s">
        <v>30</v>
      </c>
      <c r="D2" s="3" t="s">
        <v>50</v>
      </c>
      <c r="E2" s="3" t="s">
        <v>54</v>
      </c>
      <c r="F2" s="3" t="s">
        <v>63</v>
      </c>
      <c r="G2" s="3">
        <v>32</v>
      </c>
      <c r="H2" s="3" t="s">
        <v>67</v>
      </c>
      <c r="I2" s="3" t="s">
        <v>78</v>
      </c>
      <c r="J2" s="8">
        <v>43180</v>
      </c>
      <c r="K2" s="3" t="s">
        <v>83</v>
      </c>
      <c r="L2">
        <v>2000</v>
      </c>
    </row>
    <row r="3" spans="1:12" x14ac:dyDescent="0.25">
      <c r="A3" s="3">
        <v>2</v>
      </c>
      <c r="B3" s="3" t="s">
        <v>11</v>
      </c>
      <c r="C3" s="3" t="s">
        <v>31</v>
      </c>
      <c r="D3" s="3" t="s">
        <v>50</v>
      </c>
      <c r="E3" s="3" t="s">
        <v>54</v>
      </c>
      <c r="F3" s="3" t="s">
        <v>63</v>
      </c>
      <c r="G3" s="3">
        <v>30</v>
      </c>
      <c r="H3" s="3" t="s">
        <v>68</v>
      </c>
      <c r="I3" s="3" t="s">
        <v>80</v>
      </c>
      <c r="J3" s="8">
        <v>43214</v>
      </c>
      <c r="K3" s="3" t="s">
        <v>83</v>
      </c>
      <c r="L3">
        <v>5000</v>
      </c>
    </row>
    <row r="4" spans="1:12" x14ac:dyDescent="0.25">
      <c r="A4" s="3">
        <v>3</v>
      </c>
      <c r="B4" s="3" t="s">
        <v>12</v>
      </c>
      <c r="C4" s="3" t="s">
        <v>32</v>
      </c>
      <c r="D4" s="3" t="s">
        <v>50</v>
      </c>
      <c r="E4" s="3" t="s">
        <v>54</v>
      </c>
      <c r="F4" s="3" t="s">
        <v>65</v>
      </c>
      <c r="G4" s="3">
        <v>27</v>
      </c>
      <c r="H4" s="3" t="s">
        <v>69</v>
      </c>
      <c r="I4" s="3" t="s">
        <v>78</v>
      </c>
      <c r="J4" s="8">
        <v>43113</v>
      </c>
      <c r="K4" s="3" t="s">
        <v>85</v>
      </c>
      <c r="L4">
        <v>300</v>
      </c>
    </row>
    <row r="5" spans="1:12" x14ac:dyDescent="0.25">
      <c r="A5" s="3">
        <v>4</v>
      </c>
      <c r="B5" s="3" t="s">
        <v>13</v>
      </c>
      <c r="C5" s="3" t="s">
        <v>33</v>
      </c>
      <c r="D5" s="3" t="s">
        <v>50</v>
      </c>
      <c r="E5" s="3" t="s">
        <v>54</v>
      </c>
      <c r="F5" s="3" t="s">
        <v>65</v>
      </c>
      <c r="G5" s="3">
        <v>26</v>
      </c>
      <c r="H5" s="3" t="s">
        <v>70</v>
      </c>
      <c r="I5" s="3" t="s">
        <v>78</v>
      </c>
      <c r="J5" s="8">
        <v>43263</v>
      </c>
      <c r="K5" s="3" t="s">
        <v>83</v>
      </c>
      <c r="L5">
        <v>0</v>
      </c>
    </row>
    <row r="6" spans="1:12" x14ac:dyDescent="0.25">
      <c r="A6" s="3">
        <v>5</v>
      </c>
      <c r="B6" s="3" t="s">
        <v>14</v>
      </c>
      <c r="C6" s="3" t="s">
        <v>34</v>
      </c>
      <c r="D6" s="3" t="s">
        <v>50</v>
      </c>
      <c r="E6" s="3" t="s">
        <v>54</v>
      </c>
      <c r="F6" s="3" t="s">
        <v>63</v>
      </c>
      <c r="G6" s="3">
        <v>30</v>
      </c>
      <c r="H6" s="3" t="s">
        <v>71</v>
      </c>
      <c r="I6" s="3" t="s">
        <v>78</v>
      </c>
      <c r="J6" s="8">
        <v>43342</v>
      </c>
      <c r="K6" s="3" t="s">
        <v>85</v>
      </c>
      <c r="L6">
        <v>6777</v>
      </c>
    </row>
    <row r="7" spans="1:12" x14ac:dyDescent="0.25">
      <c r="A7" s="3">
        <v>6</v>
      </c>
      <c r="B7" s="3" t="s">
        <v>15</v>
      </c>
      <c r="C7" s="3" t="s">
        <v>35</v>
      </c>
      <c r="D7" s="3" t="s">
        <v>50</v>
      </c>
      <c r="E7" s="3" t="s">
        <v>54</v>
      </c>
      <c r="F7" s="3" t="s">
        <v>63</v>
      </c>
      <c r="G7" s="3">
        <v>29</v>
      </c>
      <c r="H7" s="3" t="s">
        <v>72</v>
      </c>
      <c r="I7" s="3" t="s">
        <v>78</v>
      </c>
      <c r="J7" s="8">
        <v>43455</v>
      </c>
      <c r="K7" s="3" t="s">
        <v>83</v>
      </c>
      <c r="L7">
        <v>1222</v>
      </c>
    </row>
    <row r="8" spans="1:12" x14ac:dyDescent="0.25">
      <c r="A8" s="3">
        <v>7</v>
      </c>
      <c r="B8" s="3" t="s">
        <v>16</v>
      </c>
      <c r="C8" s="3" t="s">
        <v>36</v>
      </c>
      <c r="D8" s="3" t="s">
        <v>50</v>
      </c>
      <c r="E8" s="3" t="s">
        <v>55</v>
      </c>
      <c r="F8" s="3" t="s">
        <v>65</v>
      </c>
      <c r="G8" s="3">
        <v>28</v>
      </c>
      <c r="H8" s="3" t="s">
        <v>67</v>
      </c>
      <c r="I8" s="3" t="s">
        <v>80</v>
      </c>
      <c r="J8" s="8">
        <v>43385</v>
      </c>
      <c r="K8" s="3" t="s">
        <v>85</v>
      </c>
      <c r="L8">
        <v>4556</v>
      </c>
    </row>
    <row r="9" spans="1:12" x14ac:dyDescent="0.25">
      <c r="A9" s="3">
        <v>8</v>
      </c>
      <c r="B9" s="3" t="s">
        <v>17</v>
      </c>
      <c r="C9" s="3" t="s">
        <v>37</v>
      </c>
      <c r="D9" s="3" t="s">
        <v>50</v>
      </c>
      <c r="E9" s="3" t="s">
        <v>55</v>
      </c>
      <c r="F9" s="3" t="s">
        <v>63</v>
      </c>
      <c r="G9" s="3">
        <v>33</v>
      </c>
      <c r="H9" s="3" t="s">
        <v>68</v>
      </c>
      <c r="I9" s="3" t="s">
        <v>78</v>
      </c>
      <c r="J9" s="8">
        <v>43274</v>
      </c>
      <c r="K9" s="3" t="s">
        <v>83</v>
      </c>
      <c r="L9">
        <v>3333</v>
      </c>
    </row>
    <row r="10" spans="1:12" x14ac:dyDescent="0.25">
      <c r="A10" s="3">
        <v>9</v>
      </c>
      <c r="B10" s="3" t="s">
        <v>18</v>
      </c>
      <c r="C10" s="3" t="s">
        <v>38</v>
      </c>
      <c r="D10" s="3" t="s">
        <v>51</v>
      </c>
      <c r="E10" s="3" t="s">
        <v>56</v>
      </c>
      <c r="F10" s="3" t="s">
        <v>63</v>
      </c>
      <c r="G10" s="3">
        <v>27</v>
      </c>
      <c r="H10" s="3" t="s">
        <v>68</v>
      </c>
      <c r="I10" s="3" t="s">
        <v>78</v>
      </c>
      <c r="J10" s="8">
        <v>43232</v>
      </c>
      <c r="K10" s="3" t="s">
        <v>85</v>
      </c>
      <c r="L10">
        <v>5567</v>
      </c>
    </row>
    <row r="11" spans="1:12" x14ac:dyDescent="0.25">
      <c r="A11" s="3">
        <v>10</v>
      </c>
      <c r="B11" s="3" t="s">
        <v>19</v>
      </c>
      <c r="C11" s="3" t="s">
        <v>39</v>
      </c>
      <c r="D11" s="3" t="s">
        <v>51</v>
      </c>
      <c r="E11" s="3" t="s">
        <v>56</v>
      </c>
      <c r="F11" s="3" t="s">
        <v>65</v>
      </c>
      <c r="G11" s="3">
        <v>24</v>
      </c>
      <c r="H11" s="3" t="s">
        <v>70</v>
      </c>
      <c r="I11" s="3" t="s">
        <v>78</v>
      </c>
      <c r="J11" s="8">
        <v>43263</v>
      </c>
      <c r="K11" s="3" t="s">
        <v>85</v>
      </c>
      <c r="L11">
        <v>3333</v>
      </c>
    </row>
    <row r="12" spans="1:12" x14ac:dyDescent="0.25">
      <c r="A12" s="3">
        <v>11</v>
      </c>
      <c r="B12" s="3" t="s">
        <v>20</v>
      </c>
      <c r="C12" s="3" t="s">
        <v>40</v>
      </c>
      <c r="D12" s="3" t="s">
        <v>51</v>
      </c>
      <c r="E12" s="3" t="s">
        <v>56</v>
      </c>
      <c r="F12" s="3" t="s">
        <v>65</v>
      </c>
      <c r="G12" s="3">
        <v>25</v>
      </c>
      <c r="H12" s="3" t="s">
        <v>73</v>
      </c>
      <c r="I12" s="3" t="s">
        <v>78</v>
      </c>
      <c r="J12" s="8">
        <v>43422</v>
      </c>
      <c r="K12" s="3" t="s">
        <v>83</v>
      </c>
      <c r="L12">
        <v>6333</v>
      </c>
    </row>
    <row r="13" spans="1:12" x14ac:dyDescent="0.25">
      <c r="A13" s="3">
        <v>12</v>
      </c>
      <c r="B13" s="3" t="s">
        <v>21</v>
      </c>
      <c r="C13" s="3" t="s">
        <v>41</v>
      </c>
      <c r="D13" s="3" t="s">
        <v>51</v>
      </c>
      <c r="E13" s="3" t="s">
        <v>57</v>
      </c>
      <c r="F13" s="3" t="s">
        <v>65</v>
      </c>
      <c r="G13" s="3">
        <v>24</v>
      </c>
      <c r="H13" s="3" t="s">
        <v>74</v>
      </c>
      <c r="I13" s="3" t="s">
        <v>78</v>
      </c>
      <c r="J13" s="8">
        <v>43447</v>
      </c>
      <c r="K13" s="3" t="s">
        <v>87</v>
      </c>
      <c r="L13">
        <v>2456</v>
      </c>
    </row>
    <row r="14" spans="1:12" x14ac:dyDescent="0.25">
      <c r="A14" s="3">
        <v>13</v>
      </c>
      <c r="B14" s="3" t="s">
        <v>22</v>
      </c>
      <c r="C14" s="3" t="s">
        <v>42</v>
      </c>
      <c r="D14" s="3" t="s">
        <v>51</v>
      </c>
      <c r="E14" s="3" t="s">
        <v>57</v>
      </c>
      <c r="F14" s="3" t="s">
        <v>65</v>
      </c>
      <c r="G14" s="3">
        <v>25</v>
      </c>
      <c r="H14" s="3" t="s">
        <v>71</v>
      </c>
      <c r="I14" s="3" t="s">
        <v>80</v>
      </c>
      <c r="J14" s="8">
        <v>43162</v>
      </c>
      <c r="K14" s="3" t="s">
        <v>85</v>
      </c>
      <c r="L14">
        <v>0</v>
      </c>
    </row>
    <row r="15" spans="1:12" x14ac:dyDescent="0.25">
      <c r="A15" s="3">
        <v>14</v>
      </c>
      <c r="B15" s="3" t="s">
        <v>23</v>
      </c>
      <c r="C15" s="3" t="s">
        <v>43</v>
      </c>
      <c r="D15" s="3" t="s">
        <v>51</v>
      </c>
      <c r="E15" s="3" t="s">
        <v>58</v>
      </c>
      <c r="F15" s="3" t="s">
        <v>63</v>
      </c>
      <c r="G15" s="3">
        <v>28</v>
      </c>
      <c r="H15" s="3" t="s">
        <v>75</v>
      </c>
      <c r="I15" s="3" t="s">
        <v>80</v>
      </c>
      <c r="J15" s="8">
        <v>43315</v>
      </c>
      <c r="K15" s="3" t="s">
        <v>85</v>
      </c>
      <c r="L15">
        <v>2222</v>
      </c>
    </row>
    <row r="16" spans="1:12" x14ac:dyDescent="0.25">
      <c r="A16" s="3">
        <v>15</v>
      </c>
      <c r="B16" s="3" t="s">
        <v>24</v>
      </c>
      <c r="C16" s="3" t="s">
        <v>44</v>
      </c>
      <c r="D16" s="3" t="s">
        <v>52</v>
      </c>
      <c r="E16" s="3" t="s">
        <v>59</v>
      </c>
      <c r="F16" s="3" t="s">
        <v>65</v>
      </c>
      <c r="G16" s="3">
        <v>26</v>
      </c>
      <c r="H16" s="3" t="s">
        <v>75</v>
      </c>
      <c r="I16" s="3" t="s">
        <v>78</v>
      </c>
      <c r="J16" s="8">
        <v>43362</v>
      </c>
      <c r="K16" s="3" t="s">
        <v>85</v>
      </c>
      <c r="L16">
        <v>8000</v>
      </c>
    </row>
    <row r="17" spans="1:12" x14ac:dyDescent="0.25">
      <c r="A17" s="3">
        <v>16</v>
      </c>
      <c r="B17" s="3" t="s">
        <v>25</v>
      </c>
      <c r="C17" s="3" t="s">
        <v>45</v>
      </c>
      <c r="D17" s="3" t="s">
        <v>52</v>
      </c>
      <c r="E17" s="3" t="s">
        <v>59</v>
      </c>
      <c r="F17" s="3" t="s">
        <v>65</v>
      </c>
      <c r="G17" s="3">
        <v>25</v>
      </c>
      <c r="H17" s="3" t="s">
        <v>67</v>
      </c>
      <c r="I17" s="3" t="s">
        <v>78</v>
      </c>
      <c r="J17" s="8">
        <v>43341</v>
      </c>
      <c r="K17" s="3" t="s">
        <v>83</v>
      </c>
      <c r="L17">
        <v>4444</v>
      </c>
    </row>
    <row r="18" spans="1:12" x14ac:dyDescent="0.25">
      <c r="A18" s="3">
        <v>17</v>
      </c>
      <c r="B18" s="3" t="s">
        <v>26</v>
      </c>
      <c r="C18" s="3" t="s">
        <v>46</v>
      </c>
      <c r="D18" s="3" t="s">
        <v>52</v>
      </c>
      <c r="E18" s="3" t="s">
        <v>60</v>
      </c>
      <c r="F18" s="3" t="s">
        <v>63</v>
      </c>
      <c r="G18" s="3">
        <v>28</v>
      </c>
      <c r="H18" s="3" t="s">
        <v>73</v>
      </c>
      <c r="I18" s="3" t="s">
        <v>80</v>
      </c>
      <c r="J18" s="8">
        <v>43231</v>
      </c>
      <c r="K18" s="3" t="s">
        <v>85</v>
      </c>
      <c r="L18">
        <v>2222</v>
      </c>
    </row>
    <row r="19" spans="1:12" x14ac:dyDescent="0.25">
      <c r="A19" s="3">
        <v>18</v>
      </c>
      <c r="B19" s="3" t="s">
        <v>27</v>
      </c>
      <c r="C19" s="3" t="s">
        <v>47</v>
      </c>
      <c r="D19" s="3" t="s">
        <v>52</v>
      </c>
      <c r="E19" s="3" t="s">
        <v>60</v>
      </c>
      <c r="F19" s="3" t="s">
        <v>65</v>
      </c>
      <c r="G19" s="3">
        <v>25</v>
      </c>
      <c r="H19" s="3" t="s">
        <v>76</v>
      </c>
      <c r="I19" s="3" t="s">
        <v>78</v>
      </c>
      <c r="J19" s="8">
        <v>43290</v>
      </c>
      <c r="K19" s="3" t="s">
        <v>87</v>
      </c>
      <c r="L19">
        <v>4567</v>
      </c>
    </row>
    <row r="20" spans="1:12" x14ac:dyDescent="0.25">
      <c r="A20" s="3">
        <v>19</v>
      </c>
      <c r="B20" s="3" t="s">
        <v>28</v>
      </c>
      <c r="C20" s="3" t="s">
        <v>48</v>
      </c>
      <c r="D20" s="3" t="s">
        <v>53</v>
      </c>
      <c r="E20" s="3" t="s">
        <v>61</v>
      </c>
      <c r="F20" s="3" t="s">
        <v>65</v>
      </c>
      <c r="G20" s="3">
        <v>32</v>
      </c>
      <c r="H20" s="3" t="s">
        <v>77</v>
      </c>
      <c r="I20" s="3" t="s">
        <v>80</v>
      </c>
      <c r="J20" s="8">
        <v>43344</v>
      </c>
      <c r="K20" s="3" t="s">
        <v>83</v>
      </c>
      <c r="L20">
        <v>2573</v>
      </c>
    </row>
    <row r="21" spans="1:12" x14ac:dyDescent="0.25">
      <c r="A21" s="3">
        <v>20</v>
      </c>
      <c r="B21" s="3" t="s">
        <v>29</v>
      </c>
      <c r="C21" s="3" t="s">
        <v>49</v>
      </c>
      <c r="D21" s="3" t="s">
        <v>53</v>
      </c>
      <c r="E21" s="3" t="s">
        <v>62</v>
      </c>
      <c r="F21" s="3" t="s">
        <v>65</v>
      </c>
      <c r="G21" s="3">
        <v>28</v>
      </c>
      <c r="H21" s="3" t="s">
        <v>67</v>
      </c>
      <c r="I21" s="3" t="s">
        <v>78</v>
      </c>
      <c r="J21" s="8">
        <v>43252</v>
      </c>
      <c r="K21" s="3" t="s">
        <v>85</v>
      </c>
      <c r="L21">
        <v>2456</v>
      </c>
    </row>
    <row r="22" spans="1:12" x14ac:dyDescent="0.25">
      <c r="G22" s="3">
        <f>AVERAGE(G2:G21)</f>
        <v>27.6</v>
      </c>
    </row>
    <row r="43" spans="2:4" x14ac:dyDescent="0.25">
      <c r="B43" t="s">
        <v>64</v>
      </c>
      <c r="C43" t="s">
        <v>79</v>
      </c>
      <c r="D43" t="s">
        <v>84</v>
      </c>
    </row>
    <row r="44" spans="2:4" x14ac:dyDescent="0.25">
      <c r="B44" t="s">
        <v>66</v>
      </c>
      <c r="C44" t="s">
        <v>81</v>
      </c>
      <c r="D44" t="s">
        <v>86</v>
      </c>
    </row>
    <row r="45" spans="2:4" x14ac:dyDescent="0.25">
      <c r="D45" t="s">
        <v>88</v>
      </c>
    </row>
  </sheetData>
  <phoneticPr fontId="1" type="noConversion"/>
  <conditionalFormatting sqref="L1:L1048576">
    <cfRule type="cellIs" dxfId="0" priority="1" operator="equal">
      <formula>0</formula>
    </cfRule>
  </conditionalFormatting>
  <dataValidations count="3">
    <dataValidation type="list" allowBlank="1" showInputMessage="1" showErrorMessage="1" sqref="F2:F21" xr:uid="{00000000-0002-0000-0000-000000000000}">
      <formula1>$B$43:$B$44</formula1>
    </dataValidation>
    <dataValidation type="list" allowBlank="1" showInputMessage="1" showErrorMessage="1" sqref="I2:I21" xr:uid="{00000000-0002-0000-0000-000001000000}">
      <formula1>$C$43:$C$44</formula1>
    </dataValidation>
    <dataValidation type="list" allowBlank="1" showInputMessage="1" showErrorMessage="1" sqref="K2:K21" xr:uid="{00000000-0002-0000-0000-000002000000}">
      <formula1>$D$43:$D$45</formula1>
    </dataValidation>
  </dataValidations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2801138D-C26C-4ACA-A029-A3D58DA83A7C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zoomScale="130" zoomScaleNormal="130" workbookViewId="0">
      <pane xSplit="5" ySplit="1" topLeftCell="F8" activePane="bottomRight" state="frozen"/>
      <selection pane="topRight" activeCell="F1" sqref="F1"/>
      <selection pane="bottomLeft" activeCell="A2" sqref="A2"/>
      <selection pane="bottomRight" activeCell="G22" sqref="G22"/>
    </sheetView>
  </sheetViews>
  <sheetFormatPr defaultRowHeight="14.4" x14ac:dyDescent="0.25"/>
  <cols>
    <col min="7" max="7" width="8.88671875" customWidth="1"/>
    <col min="10" max="10" width="9.44140625" bestFit="1" customWidth="1"/>
    <col min="11" max="11" width="13.44140625" customWidth="1"/>
  </cols>
  <sheetData>
    <row r="1" spans="1:11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82</v>
      </c>
    </row>
    <row r="2" spans="1:11" x14ac:dyDescent="0.25">
      <c r="A2">
        <v>1</v>
      </c>
      <c r="B2" t="s">
        <v>10</v>
      </c>
      <c r="C2" t="s">
        <v>30</v>
      </c>
      <c r="D2" t="s">
        <v>50</v>
      </c>
      <c r="E2" t="s">
        <v>54</v>
      </c>
      <c r="F2" t="s">
        <v>63</v>
      </c>
      <c r="G2">
        <v>32</v>
      </c>
      <c r="H2" t="s">
        <v>67</v>
      </c>
      <c r="I2" t="s">
        <v>78</v>
      </c>
      <c r="J2" s="1">
        <v>43180</v>
      </c>
      <c r="K2" t="s">
        <v>83</v>
      </c>
    </row>
    <row r="3" spans="1:11" x14ac:dyDescent="0.25">
      <c r="A3">
        <v>2</v>
      </c>
      <c r="B3" t="s">
        <v>11</v>
      </c>
      <c r="C3" t="s">
        <v>31</v>
      </c>
      <c r="D3" t="s">
        <v>50</v>
      </c>
      <c r="E3" t="s">
        <v>54</v>
      </c>
      <c r="F3" t="s">
        <v>63</v>
      </c>
      <c r="G3">
        <v>30</v>
      </c>
      <c r="H3" t="s">
        <v>68</v>
      </c>
      <c r="I3" t="s">
        <v>80</v>
      </c>
      <c r="J3" s="1">
        <v>43214</v>
      </c>
      <c r="K3" t="s">
        <v>83</v>
      </c>
    </row>
    <row r="4" spans="1:11" x14ac:dyDescent="0.25">
      <c r="A4">
        <v>3</v>
      </c>
      <c r="B4" t="s">
        <v>12</v>
      </c>
      <c r="C4" t="s">
        <v>32</v>
      </c>
      <c r="D4" t="s">
        <v>50</v>
      </c>
      <c r="E4" t="s">
        <v>54</v>
      </c>
      <c r="F4" t="s">
        <v>65</v>
      </c>
      <c r="G4">
        <v>27</v>
      </c>
      <c r="H4" t="s">
        <v>69</v>
      </c>
      <c r="I4" t="s">
        <v>78</v>
      </c>
      <c r="J4" s="1">
        <v>43113</v>
      </c>
      <c r="K4" t="s">
        <v>85</v>
      </c>
    </row>
    <row r="5" spans="1:11" x14ac:dyDescent="0.25">
      <c r="A5">
        <v>4</v>
      </c>
      <c r="B5" t="s">
        <v>13</v>
      </c>
      <c r="C5" t="s">
        <v>33</v>
      </c>
      <c r="D5" t="s">
        <v>50</v>
      </c>
      <c r="E5" t="s">
        <v>54</v>
      </c>
      <c r="F5" t="s">
        <v>65</v>
      </c>
      <c r="G5">
        <v>26</v>
      </c>
      <c r="H5" t="s">
        <v>70</v>
      </c>
      <c r="I5" t="s">
        <v>78</v>
      </c>
      <c r="J5" s="1">
        <v>43263</v>
      </c>
      <c r="K5" t="s">
        <v>83</v>
      </c>
    </row>
    <row r="6" spans="1:11" x14ac:dyDescent="0.25">
      <c r="A6">
        <v>5</v>
      </c>
      <c r="B6" t="s">
        <v>14</v>
      </c>
      <c r="C6" t="s">
        <v>34</v>
      </c>
      <c r="D6" t="s">
        <v>50</v>
      </c>
      <c r="E6" t="s">
        <v>54</v>
      </c>
      <c r="F6" t="s">
        <v>63</v>
      </c>
      <c r="G6">
        <v>30</v>
      </c>
      <c r="H6" t="s">
        <v>71</v>
      </c>
      <c r="I6" t="s">
        <v>78</v>
      </c>
      <c r="J6" s="1">
        <v>43342</v>
      </c>
      <c r="K6" t="s">
        <v>85</v>
      </c>
    </row>
    <row r="7" spans="1:11" x14ac:dyDescent="0.25">
      <c r="A7">
        <v>6</v>
      </c>
      <c r="B7" t="s">
        <v>15</v>
      </c>
      <c r="C7" t="s">
        <v>35</v>
      </c>
      <c r="D7" t="s">
        <v>50</v>
      </c>
      <c r="E7" t="s">
        <v>54</v>
      </c>
      <c r="F7" t="s">
        <v>63</v>
      </c>
      <c r="G7">
        <v>29</v>
      </c>
      <c r="H7" t="s">
        <v>72</v>
      </c>
      <c r="I7" t="s">
        <v>78</v>
      </c>
      <c r="J7" s="1">
        <v>43455</v>
      </c>
      <c r="K7" t="s">
        <v>83</v>
      </c>
    </row>
    <row r="8" spans="1:11" x14ac:dyDescent="0.25">
      <c r="A8">
        <v>7</v>
      </c>
      <c r="B8" t="s">
        <v>16</v>
      </c>
      <c r="C8" t="s">
        <v>36</v>
      </c>
      <c r="D8" t="s">
        <v>50</v>
      </c>
      <c r="E8" t="s">
        <v>55</v>
      </c>
      <c r="F8" t="s">
        <v>65</v>
      </c>
      <c r="G8">
        <v>28</v>
      </c>
      <c r="H8" t="s">
        <v>67</v>
      </c>
      <c r="I8" t="s">
        <v>80</v>
      </c>
      <c r="J8" s="1">
        <v>43385</v>
      </c>
      <c r="K8" t="s">
        <v>85</v>
      </c>
    </row>
    <row r="9" spans="1:11" x14ac:dyDescent="0.25">
      <c r="A9">
        <v>8</v>
      </c>
      <c r="B9" t="s">
        <v>17</v>
      </c>
      <c r="C9" t="s">
        <v>37</v>
      </c>
      <c r="D9" t="s">
        <v>50</v>
      </c>
      <c r="E9" t="s">
        <v>55</v>
      </c>
      <c r="F9" t="s">
        <v>63</v>
      </c>
      <c r="G9">
        <v>33</v>
      </c>
      <c r="H9" t="s">
        <v>68</v>
      </c>
      <c r="I9" t="s">
        <v>78</v>
      </c>
      <c r="J9" s="1">
        <v>43274</v>
      </c>
      <c r="K9" t="s">
        <v>83</v>
      </c>
    </row>
    <row r="10" spans="1:11" x14ac:dyDescent="0.25">
      <c r="A10">
        <v>9</v>
      </c>
      <c r="B10" t="s">
        <v>18</v>
      </c>
      <c r="C10" t="s">
        <v>38</v>
      </c>
      <c r="D10" t="s">
        <v>51</v>
      </c>
      <c r="E10" t="s">
        <v>56</v>
      </c>
      <c r="F10" t="s">
        <v>63</v>
      </c>
      <c r="G10">
        <v>27</v>
      </c>
      <c r="H10" t="s">
        <v>68</v>
      </c>
      <c r="I10" t="s">
        <v>78</v>
      </c>
      <c r="J10" s="1">
        <v>43232</v>
      </c>
      <c r="K10" t="s">
        <v>85</v>
      </c>
    </row>
    <row r="11" spans="1:11" x14ac:dyDescent="0.25">
      <c r="A11">
        <v>10</v>
      </c>
      <c r="B11" t="s">
        <v>19</v>
      </c>
      <c r="C11" t="s">
        <v>39</v>
      </c>
      <c r="D11" t="s">
        <v>51</v>
      </c>
      <c r="E11" t="s">
        <v>56</v>
      </c>
      <c r="F11" t="s">
        <v>65</v>
      </c>
      <c r="G11">
        <v>24</v>
      </c>
      <c r="H11" t="s">
        <v>70</v>
      </c>
      <c r="I11" t="s">
        <v>78</v>
      </c>
      <c r="J11" s="1">
        <v>43263</v>
      </c>
      <c r="K11" t="s">
        <v>85</v>
      </c>
    </row>
    <row r="12" spans="1:11" x14ac:dyDescent="0.25">
      <c r="A12">
        <v>11</v>
      </c>
      <c r="B12" t="s">
        <v>20</v>
      </c>
      <c r="C12" t="s">
        <v>40</v>
      </c>
      <c r="D12" t="s">
        <v>51</v>
      </c>
      <c r="E12" t="s">
        <v>56</v>
      </c>
      <c r="F12" t="s">
        <v>65</v>
      </c>
      <c r="G12">
        <v>25</v>
      </c>
      <c r="H12" t="s">
        <v>73</v>
      </c>
      <c r="I12" t="s">
        <v>78</v>
      </c>
      <c r="J12" s="1">
        <v>43422</v>
      </c>
      <c r="K12" t="s">
        <v>83</v>
      </c>
    </row>
    <row r="13" spans="1:11" x14ac:dyDescent="0.25">
      <c r="A13">
        <v>12</v>
      </c>
      <c r="B13" t="s">
        <v>21</v>
      </c>
      <c r="C13" t="s">
        <v>41</v>
      </c>
      <c r="D13" t="s">
        <v>51</v>
      </c>
      <c r="E13" t="s">
        <v>57</v>
      </c>
      <c r="F13" t="s">
        <v>65</v>
      </c>
      <c r="G13">
        <v>24</v>
      </c>
      <c r="H13" t="s">
        <v>74</v>
      </c>
      <c r="I13" t="s">
        <v>78</v>
      </c>
      <c r="J13" s="1">
        <v>43447</v>
      </c>
      <c r="K13" t="s">
        <v>87</v>
      </c>
    </row>
    <row r="14" spans="1:11" x14ac:dyDescent="0.25">
      <c r="A14">
        <v>13</v>
      </c>
      <c r="B14" t="s">
        <v>22</v>
      </c>
      <c r="C14" t="s">
        <v>42</v>
      </c>
      <c r="D14" t="s">
        <v>51</v>
      </c>
      <c r="E14" t="s">
        <v>57</v>
      </c>
      <c r="F14" t="s">
        <v>65</v>
      </c>
      <c r="G14">
        <v>25</v>
      </c>
      <c r="H14" t="s">
        <v>71</v>
      </c>
      <c r="I14" t="s">
        <v>80</v>
      </c>
      <c r="J14" s="1">
        <v>43162</v>
      </c>
      <c r="K14" t="s">
        <v>85</v>
      </c>
    </row>
    <row r="15" spans="1:11" x14ac:dyDescent="0.25">
      <c r="A15">
        <v>14</v>
      </c>
      <c r="B15" t="s">
        <v>23</v>
      </c>
      <c r="C15" t="s">
        <v>43</v>
      </c>
      <c r="D15" t="s">
        <v>51</v>
      </c>
      <c r="E15" t="s">
        <v>58</v>
      </c>
      <c r="F15" t="s">
        <v>63</v>
      </c>
      <c r="G15">
        <v>28</v>
      </c>
      <c r="H15" t="s">
        <v>75</v>
      </c>
      <c r="I15" t="s">
        <v>80</v>
      </c>
      <c r="J15" s="1">
        <v>43315</v>
      </c>
      <c r="K15" t="s">
        <v>85</v>
      </c>
    </row>
    <row r="16" spans="1:11" x14ac:dyDescent="0.25">
      <c r="A16">
        <v>15</v>
      </c>
      <c r="B16" t="s">
        <v>24</v>
      </c>
      <c r="C16" t="s">
        <v>44</v>
      </c>
      <c r="D16" t="s">
        <v>52</v>
      </c>
      <c r="E16" t="s">
        <v>59</v>
      </c>
      <c r="F16" t="s">
        <v>65</v>
      </c>
      <c r="G16">
        <v>26</v>
      </c>
      <c r="H16" t="s">
        <v>75</v>
      </c>
      <c r="I16" t="s">
        <v>78</v>
      </c>
      <c r="J16" s="1">
        <v>43362</v>
      </c>
      <c r="K16" t="s">
        <v>85</v>
      </c>
    </row>
    <row r="17" spans="1:11" x14ac:dyDescent="0.25">
      <c r="A17">
        <v>16</v>
      </c>
      <c r="B17" t="s">
        <v>25</v>
      </c>
      <c r="C17" t="s">
        <v>45</v>
      </c>
      <c r="D17" t="s">
        <v>52</v>
      </c>
      <c r="E17" t="s">
        <v>59</v>
      </c>
      <c r="F17" t="s">
        <v>65</v>
      </c>
      <c r="G17">
        <v>25</v>
      </c>
      <c r="H17" t="s">
        <v>67</v>
      </c>
      <c r="I17" t="s">
        <v>78</v>
      </c>
      <c r="J17" s="1">
        <v>43341</v>
      </c>
      <c r="K17" t="s">
        <v>83</v>
      </c>
    </row>
    <row r="18" spans="1:11" x14ac:dyDescent="0.25">
      <c r="A18">
        <v>17</v>
      </c>
      <c r="B18" t="s">
        <v>26</v>
      </c>
      <c r="C18" t="s">
        <v>46</v>
      </c>
      <c r="D18" t="s">
        <v>52</v>
      </c>
      <c r="E18" t="s">
        <v>60</v>
      </c>
      <c r="F18" t="s">
        <v>63</v>
      </c>
      <c r="G18">
        <v>28</v>
      </c>
      <c r="H18" t="s">
        <v>73</v>
      </c>
      <c r="I18" t="s">
        <v>80</v>
      </c>
      <c r="J18" s="1">
        <v>43231</v>
      </c>
      <c r="K18" t="s">
        <v>85</v>
      </c>
    </row>
    <row r="19" spans="1:11" x14ac:dyDescent="0.25">
      <c r="A19">
        <v>18</v>
      </c>
      <c r="B19" t="s">
        <v>27</v>
      </c>
      <c r="C19" t="s">
        <v>47</v>
      </c>
      <c r="D19" t="s">
        <v>52</v>
      </c>
      <c r="E19" t="s">
        <v>60</v>
      </c>
      <c r="F19" t="s">
        <v>65</v>
      </c>
      <c r="G19">
        <v>25</v>
      </c>
      <c r="H19" t="s">
        <v>76</v>
      </c>
      <c r="I19" t="s">
        <v>78</v>
      </c>
      <c r="J19" s="1">
        <v>43290</v>
      </c>
      <c r="K19" t="s">
        <v>87</v>
      </c>
    </row>
    <row r="20" spans="1:11" x14ac:dyDescent="0.25">
      <c r="A20">
        <v>19</v>
      </c>
      <c r="B20" t="s">
        <v>28</v>
      </c>
      <c r="C20" t="s">
        <v>48</v>
      </c>
      <c r="D20" t="s">
        <v>53</v>
      </c>
      <c r="E20" t="s">
        <v>61</v>
      </c>
      <c r="F20" t="s">
        <v>65</v>
      </c>
      <c r="G20">
        <v>32</v>
      </c>
      <c r="H20" t="s">
        <v>77</v>
      </c>
      <c r="I20" t="s">
        <v>80</v>
      </c>
      <c r="J20" s="1">
        <v>43344</v>
      </c>
      <c r="K20" t="s">
        <v>83</v>
      </c>
    </row>
    <row r="21" spans="1:11" x14ac:dyDescent="0.25">
      <c r="A21">
        <v>20</v>
      </c>
      <c r="B21" t="s">
        <v>29</v>
      </c>
      <c r="C21" t="s">
        <v>49</v>
      </c>
      <c r="D21" t="s">
        <v>53</v>
      </c>
      <c r="E21" t="s">
        <v>62</v>
      </c>
      <c r="F21" t="s">
        <v>65</v>
      </c>
      <c r="G21">
        <v>28</v>
      </c>
      <c r="H21" t="s">
        <v>67</v>
      </c>
      <c r="I21" t="s">
        <v>78</v>
      </c>
      <c r="J21" s="1">
        <v>43252</v>
      </c>
      <c r="K21" t="s">
        <v>85</v>
      </c>
    </row>
    <row r="22" spans="1:11" x14ac:dyDescent="0.25">
      <c r="G22" s="4">
        <f>AVERAGE(G2:G21)</f>
        <v>27.6</v>
      </c>
    </row>
    <row r="43" spans="2:4" x14ac:dyDescent="0.25">
      <c r="B43" t="s">
        <v>64</v>
      </c>
      <c r="C43" t="s">
        <v>79</v>
      </c>
      <c r="D43" t="s">
        <v>84</v>
      </c>
    </row>
    <row r="44" spans="2:4" x14ac:dyDescent="0.25">
      <c r="B44" t="s">
        <v>66</v>
      </c>
      <c r="C44" t="s">
        <v>81</v>
      </c>
      <c r="D44" t="s">
        <v>86</v>
      </c>
    </row>
    <row r="45" spans="2:4" x14ac:dyDescent="0.25">
      <c r="D45" t="s">
        <v>88</v>
      </c>
    </row>
  </sheetData>
  <phoneticPr fontId="1" type="noConversion"/>
  <dataValidations count="3">
    <dataValidation type="list" allowBlank="1" showInputMessage="1" showErrorMessage="1" sqref="K2:K21" xr:uid="{00000000-0002-0000-0100-000000000000}">
      <formula1>$D$43:$D$45</formula1>
    </dataValidation>
    <dataValidation type="list" allowBlank="1" showInputMessage="1" showErrorMessage="1" sqref="I2:I21" xr:uid="{00000000-0002-0000-0100-000001000000}">
      <formula1>$C$43:$C$44</formula1>
    </dataValidation>
    <dataValidation type="list" allowBlank="1" showInputMessage="1" showErrorMessage="1" sqref="F2:F21" xr:uid="{00000000-0002-0000-0100-000002000000}">
      <formula1>$B$43:$B$44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zoomScale="130" zoomScaleNormal="130" workbookViewId="0">
      <selection activeCell="K13" sqref="K13"/>
    </sheetView>
  </sheetViews>
  <sheetFormatPr defaultRowHeight="14.4" x14ac:dyDescent="0.25"/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82</v>
      </c>
    </row>
    <row r="2" spans="1:9" x14ac:dyDescent="0.25">
      <c r="A2" t="s">
        <v>30</v>
      </c>
      <c r="B2" s="7" t="s">
        <v>50</v>
      </c>
      <c r="C2" s="7" t="s">
        <v>54</v>
      </c>
      <c r="D2" t="s">
        <v>63</v>
      </c>
      <c r="E2">
        <v>32</v>
      </c>
      <c r="F2" t="s">
        <v>67</v>
      </c>
      <c r="G2" t="s">
        <v>78</v>
      </c>
      <c r="H2" s="1">
        <v>43180</v>
      </c>
      <c r="I2" t="s">
        <v>83</v>
      </c>
    </row>
    <row r="3" spans="1:9" x14ac:dyDescent="0.25">
      <c r="A3" t="s">
        <v>31</v>
      </c>
      <c r="B3" s="7"/>
      <c r="C3" s="7"/>
      <c r="D3" t="s">
        <v>63</v>
      </c>
      <c r="E3">
        <v>30</v>
      </c>
      <c r="F3" t="s">
        <v>68</v>
      </c>
      <c r="G3" t="s">
        <v>80</v>
      </c>
      <c r="H3" s="1">
        <v>43214</v>
      </c>
      <c r="I3" t="s">
        <v>83</v>
      </c>
    </row>
    <row r="4" spans="1:9" x14ac:dyDescent="0.25">
      <c r="A4" t="s">
        <v>32</v>
      </c>
      <c r="B4" s="7"/>
      <c r="C4" s="7"/>
      <c r="D4" t="s">
        <v>65</v>
      </c>
      <c r="E4">
        <v>27</v>
      </c>
      <c r="F4" t="s">
        <v>69</v>
      </c>
      <c r="G4" t="s">
        <v>78</v>
      </c>
      <c r="H4" s="1">
        <v>43113</v>
      </c>
      <c r="I4" t="s">
        <v>85</v>
      </c>
    </row>
    <row r="5" spans="1:9" x14ac:dyDescent="0.25">
      <c r="A5" t="s">
        <v>33</v>
      </c>
      <c r="B5" s="7"/>
      <c r="C5" s="7"/>
      <c r="D5" t="s">
        <v>65</v>
      </c>
      <c r="E5">
        <v>26</v>
      </c>
      <c r="F5" t="s">
        <v>70</v>
      </c>
      <c r="G5" t="s">
        <v>78</v>
      </c>
      <c r="H5" s="1">
        <v>43263</v>
      </c>
      <c r="I5" t="s">
        <v>83</v>
      </c>
    </row>
    <row r="6" spans="1:9" x14ac:dyDescent="0.25">
      <c r="A6" t="s">
        <v>34</v>
      </c>
      <c r="B6" s="7"/>
      <c r="C6" s="7"/>
      <c r="D6" t="s">
        <v>63</v>
      </c>
      <c r="E6">
        <v>30</v>
      </c>
      <c r="F6" t="s">
        <v>71</v>
      </c>
      <c r="G6" t="s">
        <v>78</v>
      </c>
      <c r="H6" s="1">
        <v>43342</v>
      </c>
      <c r="I6" t="s">
        <v>85</v>
      </c>
    </row>
    <row r="7" spans="1:9" x14ac:dyDescent="0.25">
      <c r="A7" t="s">
        <v>35</v>
      </c>
      <c r="B7" s="7"/>
      <c r="C7" s="7"/>
      <c r="D7" t="s">
        <v>63</v>
      </c>
      <c r="E7">
        <v>29</v>
      </c>
      <c r="F7" t="s">
        <v>72</v>
      </c>
      <c r="G7" t="s">
        <v>78</v>
      </c>
      <c r="H7" s="1">
        <v>43455</v>
      </c>
      <c r="I7" t="s">
        <v>83</v>
      </c>
    </row>
    <row r="8" spans="1:9" x14ac:dyDescent="0.25">
      <c r="A8" t="s">
        <v>36</v>
      </c>
      <c r="B8" s="7"/>
      <c r="C8" s="7" t="s">
        <v>55</v>
      </c>
      <c r="D8" t="s">
        <v>65</v>
      </c>
      <c r="E8">
        <v>28</v>
      </c>
      <c r="F8" t="s">
        <v>67</v>
      </c>
      <c r="G8" t="s">
        <v>80</v>
      </c>
      <c r="H8" s="1">
        <v>43385</v>
      </c>
      <c r="I8" t="s">
        <v>85</v>
      </c>
    </row>
    <row r="9" spans="1:9" x14ac:dyDescent="0.25">
      <c r="A9" t="s">
        <v>37</v>
      </c>
      <c r="B9" s="7"/>
      <c r="C9" s="7"/>
      <c r="D9" t="s">
        <v>63</v>
      </c>
      <c r="E9">
        <v>33</v>
      </c>
      <c r="F9" t="s">
        <v>68</v>
      </c>
      <c r="G9" t="s">
        <v>78</v>
      </c>
      <c r="H9" s="1">
        <v>43274</v>
      </c>
      <c r="I9" t="s">
        <v>83</v>
      </c>
    </row>
    <row r="10" spans="1:9" x14ac:dyDescent="0.25">
      <c r="A10" t="s">
        <v>38</v>
      </c>
      <c r="B10" s="7" t="s">
        <v>51</v>
      </c>
      <c r="C10" s="7" t="s">
        <v>56</v>
      </c>
      <c r="D10" t="s">
        <v>63</v>
      </c>
      <c r="E10">
        <v>27</v>
      </c>
      <c r="F10" t="s">
        <v>68</v>
      </c>
      <c r="G10" t="s">
        <v>78</v>
      </c>
      <c r="H10" s="1">
        <v>43232</v>
      </c>
      <c r="I10" t="s">
        <v>85</v>
      </c>
    </row>
    <row r="11" spans="1:9" x14ac:dyDescent="0.25">
      <c r="A11" t="s">
        <v>39</v>
      </c>
      <c r="B11" s="7"/>
      <c r="C11" s="7"/>
      <c r="D11" t="s">
        <v>65</v>
      </c>
      <c r="E11">
        <v>24</v>
      </c>
      <c r="F11" t="s">
        <v>70</v>
      </c>
      <c r="G11" t="s">
        <v>78</v>
      </c>
      <c r="H11" s="1">
        <v>43263</v>
      </c>
      <c r="I11" t="s">
        <v>85</v>
      </c>
    </row>
    <row r="12" spans="1:9" x14ac:dyDescent="0.25">
      <c r="A12" t="s">
        <v>40</v>
      </c>
      <c r="B12" s="7"/>
      <c r="C12" s="7"/>
      <c r="D12" t="s">
        <v>65</v>
      </c>
      <c r="E12">
        <v>25</v>
      </c>
      <c r="F12" t="s">
        <v>73</v>
      </c>
      <c r="G12" t="s">
        <v>78</v>
      </c>
      <c r="H12" s="1">
        <v>43422</v>
      </c>
      <c r="I12" t="s">
        <v>83</v>
      </c>
    </row>
    <row r="13" spans="1:9" x14ac:dyDescent="0.25">
      <c r="A13" t="s">
        <v>41</v>
      </c>
      <c r="B13" s="7"/>
      <c r="C13" s="7" t="s">
        <v>57</v>
      </c>
      <c r="D13" t="s">
        <v>65</v>
      </c>
      <c r="E13">
        <v>24</v>
      </c>
      <c r="F13" t="s">
        <v>74</v>
      </c>
      <c r="G13" t="s">
        <v>78</v>
      </c>
      <c r="H13" s="1">
        <v>43447</v>
      </c>
      <c r="I13" t="s">
        <v>87</v>
      </c>
    </row>
    <row r="14" spans="1:9" x14ac:dyDescent="0.25">
      <c r="A14" t="s">
        <v>42</v>
      </c>
      <c r="B14" s="7"/>
      <c r="C14" s="7"/>
      <c r="D14" t="s">
        <v>65</v>
      </c>
      <c r="E14">
        <v>25</v>
      </c>
      <c r="F14" t="s">
        <v>71</v>
      </c>
      <c r="G14" t="s">
        <v>80</v>
      </c>
      <c r="H14" s="1">
        <v>43162</v>
      </c>
      <c r="I14" t="s">
        <v>85</v>
      </c>
    </row>
    <row r="15" spans="1:9" x14ac:dyDescent="0.25">
      <c r="A15" t="s">
        <v>43</v>
      </c>
      <c r="B15" s="7"/>
      <c r="C15" t="s">
        <v>58</v>
      </c>
      <c r="D15" t="s">
        <v>63</v>
      </c>
      <c r="E15">
        <v>28</v>
      </c>
      <c r="F15" t="s">
        <v>75</v>
      </c>
      <c r="G15" t="s">
        <v>80</v>
      </c>
      <c r="H15" s="1">
        <v>43315</v>
      </c>
      <c r="I15" t="s">
        <v>85</v>
      </c>
    </row>
    <row r="16" spans="1:9" x14ac:dyDescent="0.25">
      <c r="A16" t="s">
        <v>44</v>
      </c>
      <c r="B16" s="7" t="s">
        <v>52</v>
      </c>
      <c r="C16" s="7" t="s">
        <v>59</v>
      </c>
      <c r="D16" t="s">
        <v>65</v>
      </c>
      <c r="E16">
        <v>26</v>
      </c>
      <c r="F16" t="s">
        <v>75</v>
      </c>
      <c r="G16" t="s">
        <v>78</v>
      </c>
      <c r="H16" s="1">
        <v>43362</v>
      </c>
      <c r="I16" t="s">
        <v>85</v>
      </c>
    </row>
    <row r="17" spans="1:9" x14ac:dyDescent="0.25">
      <c r="A17" t="s">
        <v>45</v>
      </c>
      <c r="B17" s="7"/>
      <c r="C17" s="7"/>
      <c r="D17" t="s">
        <v>65</v>
      </c>
      <c r="E17">
        <v>25</v>
      </c>
      <c r="F17" t="s">
        <v>67</v>
      </c>
      <c r="G17" t="s">
        <v>78</v>
      </c>
      <c r="H17" s="1">
        <v>43341</v>
      </c>
      <c r="I17" t="s">
        <v>83</v>
      </c>
    </row>
    <row r="18" spans="1:9" x14ac:dyDescent="0.25">
      <c r="A18" t="s">
        <v>46</v>
      </c>
      <c r="B18" s="7"/>
      <c r="C18" s="7" t="s">
        <v>60</v>
      </c>
      <c r="D18" t="s">
        <v>63</v>
      </c>
      <c r="E18">
        <v>28</v>
      </c>
      <c r="F18" t="s">
        <v>73</v>
      </c>
      <c r="G18" t="s">
        <v>80</v>
      </c>
      <c r="H18" s="1">
        <v>43231</v>
      </c>
      <c r="I18" t="s">
        <v>85</v>
      </c>
    </row>
    <row r="19" spans="1:9" x14ac:dyDescent="0.25">
      <c r="A19" t="s">
        <v>47</v>
      </c>
      <c r="B19" s="7"/>
      <c r="C19" s="7"/>
      <c r="D19" t="s">
        <v>65</v>
      </c>
      <c r="E19">
        <v>25</v>
      </c>
      <c r="F19" t="s">
        <v>76</v>
      </c>
      <c r="G19" t="s">
        <v>78</v>
      </c>
      <c r="H19" s="1">
        <v>43290</v>
      </c>
      <c r="I19" t="s">
        <v>87</v>
      </c>
    </row>
    <row r="20" spans="1:9" x14ac:dyDescent="0.25">
      <c r="A20" t="s">
        <v>48</v>
      </c>
      <c r="B20" s="7"/>
      <c r="C20" s="7" t="s">
        <v>61</v>
      </c>
      <c r="D20" t="s">
        <v>65</v>
      </c>
      <c r="E20">
        <v>32</v>
      </c>
      <c r="F20" t="s">
        <v>77</v>
      </c>
      <c r="G20" t="s">
        <v>80</v>
      </c>
      <c r="H20" s="1">
        <v>43344</v>
      </c>
      <c r="I20" t="s">
        <v>83</v>
      </c>
    </row>
    <row r="21" spans="1:9" x14ac:dyDescent="0.25">
      <c r="A21" t="s">
        <v>49</v>
      </c>
      <c r="B21" s="7"/>
      <c r="C21" s="7"/>
      <c r="D21" t="s">
        <v>65</v>
      </c>
      <c r="E21">
        <v>28</v>
      </c>
      <c r="F21" t="s">
        <v>67</v>
      </c>
      <c r="G21" t="s">
        <v>78</v>
      </c>
      <c r="H21" s="1">
        <v>43252</v>
      </c>
      <c r="I21" t="s">
        <v>85</v>
      </c>
    </row>
  </sheetData>
  <mergeCells count="10">
    <mergeCell ref="B16:B21"/>
    <mergeCell ref="C16:C17"/>
    <mergeCell ref="C18:C19"/>
    <mergeCell ref="C20:C21"/>
    <mergeCell ref="B2:B9"/>
    <mergeCell ref="C2:C7"/>
    <mergeCell ref="C8:C9"/>
    <mergeCell ref="B10:B15"/>
    <mergeCell ref="C10:C12"/>
    <mergeCell ref="C13:C14"/>
  </mergeCells>
  <phoneticPr fontId="1" type="noConversion"/>
  <dataValidations count="3">
    <dataValidation type="list" allowBlank="1" showInputMessage="1" showErrorMessage="1" sqref="D2:D21" xr:uid="{00000000-0002-0000-0200-000000000000}">
      <formula1>#REF!</formula1>
    </dataValidation>
    <dataValidation type="list" allowBlank="1" showInputMessage="1" showErrorMessage="1" sqref="G2:G21" xr:uid="{00000000-0002-0000-0200-000001000000}">
      <formula1>$A$43:$A$44</formula1>
    </dataValidation>
    <dataValidation type="list" allowBlank="1" showInputMessage="1" showErrorMessage="1" sqref="I2:I21" xr:uid="{00000000-0002-0000-0200-000002000000}">
      <formula1>$B$43:$B$45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zoomScale="130" zoomScaleNormal="130" workbookViewId="0">
      <selection activeCell="D1" sqref="D1:E1"/>
    </sheetView>
  </sheetViews>
  <sheetFormatPr defaultRowHeight="14.4" x14ac:dyDescent="0.25"/>
  <cols>
    <col min="1" max="1" width="8.33203125" customWidth="1"/>
  </cols>
  <sheetData>
    <row r="1" spans="1:11" ht="25.95" customHeight="1" x14ac:dyDescent="0.25">
      <c r="A1" t="s">
        <v>1</v>
      </c>
      <c r="B1" t="s">
        <v>0</v>
      </c>
      <c r="C1" t="s">
        <v>2</v>
      </c>
      <c r="D1" s="4" t="s">
        <v>3</v>
      </c>
      <c r="E1" s="5" t="s">
        <v>89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82</v>
      </c>
    </row>
    <row r="2" spans="1:11" x14ac:dyDescent="0.25">
      <c r="A2">
        <v>1</v>
      </c>
      <c r="B2" t="s">
        <v>10</v>
      </c>
      <c r="C2" t="s">
        <v>30</v>
      </c>
      <c r="D2" s="7" t="s">
        <v>50</v>
      </c>
      <c r="E2" s="7" t="s">
        <v>54</v>
      </c>
      <c r="F2" t="s">
        <v>63</v>
      </c>
      <c r="G2">
        <v>32</v>
      </c>
      <c r="H2" t="s">
        <v>67</v>
      </c>
      <c r="I2" t="s">
        <v>78</v>
      </c>
      <c r="J2" s="1">
        <v>43180</v>
      </c>
      <c r="K2" t="s">
        <v>83</v>
      </c>
    </row>
    <row r="3" spans="1:11" x14ac:dyDescent="0.25">
      <c r="A3">
        <v>2</v>
      </c>
      <c r="B3" t="s">
        <v>11</v>
      </c>
      <c r="C3" t="s">
        <v>31</v>
      </c>
      <c r="D3" s="7"/>
      <c r="E3" s="7"/>
      <c r="F3" t="s">
        <v>63</v>
      </c>
      <c r="G3">
        <v>30</v>
      </c>
      <c r="H3" t="s">
        <v>68</v>
      </c>
      <c r="I3" t="s">
        <v>80</v>
      </c>
      <c r="J3" s="1">
        <v>43214</v>
      </c>
      <c r="K3" t="s">
        <v>83</v>
      </c>
    </row>
    <row r="4" spans="1:11" x14ac:dyDescent="0.25">
      <c r="A4">
        <v>3</v>
      </c>
      <c r="B4" t="s">
        <v>12</v>
      </c>
      <c r="C4" t="s">
        <v>32</v>
      </c>
      <c r="D4" s="7"/>
      <c r="E4" s="7"/>
      <c r="F4" t="s">
        <v>65</v>
      </c>
      <c r="G4">
        <v>27</v>
      </c>
      <c r="H4" t="s">
        <v>69</v>
      </c>
      <c r="I4" t="s">
        <v>78</v>
      </c>
      <c r="J4" s="1">
        <v>43113</v>
      </c>
      <c r="K4" t="s">
        <v>85</v>
      </c>
    </row>
    <row r="5" spans="1:11" x14ac:dyDescent="0.25">
      <c r="A5">
        <v>4</v>
      </c>
      <c r="B5" t="s">
        <v>13</v>
      </c>
      <c r="C5" t="s">
        <v>33</v>
      </c>
      <c r="D5" s="7"/>
      <c r="E5" s="7"/>
      <c r="F5" t="s">
        <v>65</v>
      </c>
      <c r="G5">
        <v>26</v>
      </c>
      <c r="H5" t="s">
        <v>70</v>
      </c>
      <c r="I5" t="s">
        <v>78</v>
      </c>
      <c r="J5" s="1">
        <v>43263</v>
      </c>
      <c r="K5" t="s">
        <v>83</v>
      </c>
    </row>
    <row r="6" spans="1:11" x14ac:dyDescent="0.25">
      <c r="A6">
        <v>5</v>
      </c>
      <c r="B6" t="s">
        <v>14</v>
      </c>
      <c r="C6" t="s">
        <v>34</v>
      </c>
      <c r="D6" s="7"/>
      <c r="E6" s="7"/>
      <c r="F6" t="s">
        <v>63</v>
      </c>
      <c r="G6">
        <v>30</v>
      </c>
      <c r="H6" t="s">
        <v>71</v>
      </c>
      <c r="I6" t="s">
        <v>78</v>
      </c>
      <c r="J6" s="1">
        <v>43342</v>
      </c>
      <c r="K6" t="s">
        <v>85</v>
      </c>
    </row>
    <row r="7" spans="1:11" x14ac:dyDescent="0.25">
      <c r="A7">
        <v>6</v>
      </c>
      <c r="B7" t="s">
        <v>15</v>
      </c>
      <c r="C7" t="s">
        <v>35</v>
      </c>
      <c r="D7" s="7"/>
      <c r="E7" s="7"/>
      <c r="F7" t="s">
        <v>63</v>
      </c>
      <c r="G7">
        <v>29</v>
      </c>
      <c r="H7" t="s">
        <v>72</v>
      </c>
      <c r="I7" t="s">
        <v>78</v>
      </c>
      <c r="J7" s="1">
        <v>43455</v>
      </c>
      <c r="K7" t="s">
        <v>83</v>
      </c>
    </row>
    <row r="8" spans="1:11" x14ac:dyDescent="0.25">
      <c r="A8">
        <v>7</v>
      </c>
      <c r="B8" t="s">
        <v>16</v>
      </c>
      <c r="C8" t="s">
        <v>36</v>
      </c>
      <c r="D8" s="7"/>
      <c r="E8" s="7" t="s">
        <v>55</v>
      </c>
      <c r="F8" t="s">
        <v>65</v>
      </c>
      <c r="G8">
        <v>28</v>
      </c>
      <c r="H8" t="s">
        <v>67</v>
      </c>
      <c r="I8" t="s">
        <v>80</v>
      </c>
      <c r="J8" s="1">
        <v>43385</v>
      </c>
      <c r="K8" t="s">
        <v>85</v>
      </c>
    </row>
    <row r="9" spans="1:11" x14ac:dyDescent="0.25">
      <c r="A9">
        <v>8</v>
      </c>
      <c r="B9" t="s">
        <v>17</v>
      </c>
      <c r="C9" t="s">
        <v>37</v>
      </c>
      <c r="D9" s="7"/>
      <c r="E9" s="7"/>
      <c r="F9" t="s">
        <v>63</v>
      </c>
      <c r="G9">
        <v>33</v>
      </c>
      <c r="H9" t="s">
        <v>68</v>
      </c>
      <c r="I9" t="s">
        <v>78</v>
      </c>
      <c r="J9" s="1">
        <v>43274</v>
      </c>
      <c r="K9" t="s">
        <v>83</v>
      </c>
    </row>
    <row r="10" spans="1:11" x14ac:dyDescent="0.25">
      <c r="A10">
        <v>9</v>
      </c>
      <c r="B10" t="s">
        <v>18</v>
      </c>
      <c r="C10" t="s">
        <v>38</v>
      </c>
      <c r="D10" s="7" t="s">
        <v>51</v>
      </c>
      <c r="E10" s="7" t="s">
        <v>56</v>
      </c>
      <c r="F10" t="s">
        <v>63</v>
      </c>
      <c r="G10">
        <v>27</v>
      </c>
      <c r="H10" t="s">
        <v>68</v>
      </c>
      <c r="I10" t="s">
        <v>78</v>
      </c>
      <c r="J10" s="1">
        <v>43232</v>
      </c>
      <c r="K10" t="s">
        <v>85</v>
      </c>
    </row>
    <row r="11" spans="1:11" x14ac:dyDescent="0.25">
      <c r="A11">
        <v>10</v>
      </c>
      <c r="B11" t="s">
        <v>19</v>
      </c>
      <c r="C11" t="s">
        <v>39</v>
      </c>
      <c r="D11" s="7"/>
      <c r="E11" s="7"/>
      <c r="F11" t="s">
        <v>65</v>
      </c>
      <c r="G11">
        <v>24</v>
      </c>
      <c r="H11" t="s">
        <v>70</v>
      </c>
      <c r="I11" t="s">
        <v>78</v>
      </c>
      <c r="J11" s="1">
        <v>43263</v>
      </c>
      <c r="K11" t="s">
        <v>85</v>
      </c>
    </row>
    <row r="12" spans="1:11" x14ac:dyDescent="0.25">
      <c r="A12">
        <v>11</v>
      </c>
      <c r="B12" t="s">
        <v>20</v>
      </c>
      <c r="C12" t="s">
        <v>40</v>
      </c>
      <c r="D12" s="7"/>
      <c r="E12" s="7"/>
      <c r="F12" t="s">
        <v>65</v>
      </c>
      <c r="G12">
        <v>25</v>
      </c>
      <c r="H12" t="s">
        <v>73</v>
      </c>
      <c r="I12" t="s">
        <v>78</v>
      </c>
      <c r="J12" s="1">
        <v>43422</v>
      </c>
      <c r="K12" t="s">
        <v>83</v>
      </c>
    </row>
    <row r="13" spans="1:11" x14ac:dyDescent="0.25">
      <c r="A13">
        <v>12</v>
      </c>
      <c r="B13" t="s">
        <v>21</v>
      </c>
      <c r="C13" t="s">
        <v>41</v>
      </c>
      <c r="D13" s="7"/>
      <c r="E13" s="7" t="s">
        <v>57</v>
      </c>
      <c r="F13" t="s">
        <v>65</v>
      </c>
      <c r="G13">
        <v>24</v>
      </c>
      <c r="H13" t="s">
        <v>74</v>
      </c>
      <c r="I13" t="s">
        <v>78</v>
      </c>
      <c r="J13" s="1">
        <v>43447</v>
      </c>
      <c r="K13" t="s">
        <v>87</v>
      </c>
    </row>
    <row r="14" spans="1:11" x14ac:dyDescent="0.25">
      <c r="A14">
        <v>13</v>
      </c>
      <c r="B14" t="s">
        <v>22</v>
      </c>
      <c r="C14" t="s">
        <v>42</v>
      </c>
      <c r="D14" s="7"/>
      <c r="E14" s="7"/>
      <c r="F14" t="s">
        <v>65</v>
      </c>
      <c r="G14">
        <v>25</v>
      </c>
      <c r="H14" t="s">
        <v>71</v>
      </c>
      <c r="I14" t="s">
        <v>80</v>
      </c>
      <c r="J14" s="1">
        <v>43162</v>
      </c>
      <c r="K14" t="s">
        <v>85</v>
      </c>
    </row>
    <row r="15" spans="1:11" x14ac:dyDescent="0.25">
      <c r="A15">
        <v>14</v>
      </c>
      <c r="B15" t="s">
        <v>23</v>
      </c>
      <c r="C15" t="s">
        <v>43</v>
      </c>
      <c r="D15" s="7"/>
      <c r="E15" t="s">
        <v>58</v>
      </c>
      <c r="F15" t="s">
        <v>63</v>
      </c>
      <c r="G15">
        <v>28</v>
      </c>
      <c r="H15" t="s">
        <v>75</v>
      </c>
      <c r="I15" t="s">
        <v>80</v>
      </c>
      <c r="J15" s="1">
        <v>43315</v>
      </c>
      <c r="K15" t="s">
        <v>85</v>
      </c>
    </row>
    <row r="16" spans="1:11" x14ac:dyDescent="0.25">
      <c r="A16">
        <v>15</v>
      </c>
      <c r="B16" t="s">
        <v>24</v>
      </c>
      <c r="C16" t="s">
        <v>44</v>
      </c>
      <c r="D16" s="7" t="s">
        <v>52</v>
      </c>
      <c r="E16" s="7" t="s">
        <v>59</v>
      </c>
      <c r="F16" t="s">
        <v>65</v>
      </c>
      <c r="G16">
        <v>26</v>
      </c>
      <c r="H16" t="s">
        <v>75</v>
      </c>
      <c r="I16" t="s">
        <v>78</v>
      </c>
      <c r="J16" s="1">
        <v>43362</v>
      </c>
      <c r="K16" t="s">
        <v>85</v>
      </c>
    </row>
    <row r="17" spans="1:11" x14ac:dyDescent="0.25">
      <c r="A17">
        <v>16</v>
      </c>
      <c r="B17" t="s">
        <v>25</v>
      </c>
      <c r="C17" t="s">
        <v>45</v>
      </c>
      <c r="D17" s="7"/>
      <c r="E17" s="7"/>
      <c r="F17" t="s">
        <v>65</v>
      </c>
      <c r="G17">
        <v>25</v>
      </c>
      <c r="H17" t="s">
        <v>67</v>
      </c>
      <c r="I17" t="s">
        <v>78</v>
      </c>
      <c r="J17" s="1">
        <v>43341</v>
      </c>
      <c r="K17" t="s">
        <v>83</v>
      </c>
    </row>
    <row r="18" spans="1:11" x14ac:dyDescent="0.25">
      <c r="A18">
        <v>17</v>
      </c>
      <c r="B18" t="s">
        <v>26</v>
      </c>
      <c r="C18" t="s">
        <v>46</v>
      </c>
      <c r="D18" s="7"/>
      <c r="E18" s="7" t="s">
        <v>60</v>
      </c>
      <c r="F18" t="s">
        <v>63</v>
      </c>
      <c r="G18">
        <v>28</v>
      </c>
      <c r="H18" t="s">
        <v>73</v>
      </c>
      <c r="I18" t="s">
        <v>80</v>
      </c>
      <c r="J18" s="1">
        <v>43231</v>
      </c>
      <c r="K18" t="s">
        <v>85</v>
      </c>
    </row>
    <row r="19" spans="1:11" x14ac:dyDescent="0.25">
      <c r="A19">
        <v>18</v>
      </c>
      <c r="B19" t="s">
        <v>27</v>
      </c>
      <c r="C19" t="s">
        <v>47</v>
      </c>
      <c r="D19" s="7"/>
      <c r="E19" s="7"/>
      <c r="F19" t="s">
        <v>65</v>
      </c>
      <c r="G19">
        <v>25</v>
      </c>
      <c r="H19" t="s">
        <v>76</v>
      </c>
      <c r="I19" t="s">
        <v>78</v>
      </c>
      <c r="J19" s="1">
        <v>43290</v>
      </c>
      <c r="K19" t="s">
        <v>87</v>
      </c>
    </row>
    <row r="20" spans="1:11" x14ac:dyDescent="0.25">
      <c r="A20">
        <v>19</v>
      </c>
      <c r="B20" t="s">
        <v>28</v>
      </c>
      <c r="C20" t="s">
        <v>48</v>
      </c>
      <c r="D20" s="7"/>
      <c r="E20" s="7" t="s">
        <v>61</v>
      </c>
      <c r="F20" t="s">
        <v>65</v>
      </c>
      <c r="G20">
        <v>32</v>
      </c>
      <c r="H20" t="s">
        <v>77</v>
      </c>
      <c r="I20" t="s">
        <v>80</v>
      </c>
      <c r="J20" s="1">
        <v>43344</v>
      </c>
      <c r="K20" t="s">
        <v>83</v>
      </c>
    </row>
    <row r="21" spans="1:11" x14ac:dyDescent="0.25">
      <c r="A21">
        <v>20</v>
      </c>
      <c r="B21" t="s">
        <v>29</v>
      </c>
      <c r="C21" t="s">
        <v>49</v>
      </c>
      <c r="D21" s="7"/>
      <c r="E21" s="7"/>
      <c r="F21" t="s">
        <v>65</v>
      </c>
      <c r="G21">
        <v>28</v>
      </c>
      <c r="H21" t="s">
        <v>67</v>
      </c>
      <c r="I21" t="s">
        <v>78</v>
      </c>
      <c r="J21" s="1">
        <v>43252</v>
      </c>
      <c r="K21" t="s">
        <v>85</v>
      </c>
    </row>
  </sheetData>
  <mergeCells count="10">
    <mergeCell ref="D16:D21"/>
    <mergeCell ref="E16:E17"/>
    <mergeCell ref="E18:E19"/>
    <mergeCell ref="E20:E21"/>
    <mergeCell ref="D2:D9"/>
    <mergeCell ref="E2:E7"/>
    <mergeCell ref="E8:E9"/>
    <mergeCell ref="D10:D15"/>
    <mergeCell ref="E10:E12"/>
    <mergeCell ref="E13:E14"/>
  </mergeCells>
  <phoneticPr fontId="1" type="noConversion"/>
  <dataValidations count="3">
    <dataValidation type="list" allowBlank="1" showInputMessage="1" showErrorMessage="1" sqref="F2:F21" xr:uid="{00000000-0002-0000-0300-000000000000}">
      <formula1>$B$43:$B$44</formula1>
    </dataValidation>
    <dataValidation type="list" allowBlank="1" showInputMessage="1" showErrorMessage="1" sqref="I2:I21" xr:uid="{00000000-0002-0000-0300-000001000000}">
      <formula1>$C$43:$C$44</formula1>
    </dataValidation>
    <dataValidation type="list" allowBlank="1" showInputMessage="1" showErrorMessage="1" sqref="K2:K21" xr:uid="{00000000-0002-0000-0300-000002000000}">
      <formula1>$D$43:$D$45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"/>
  <sheetViews>
    <sheetView tabSelected="1" zoomScale="115" zoomScaleNormal="115" workbookViewId="0">
      <selection activeCell="N13" sqref="N13"/>
    </sheetView>
  </sheetViews>
  <sheetFormatPr defaultRowHeight="14.4" x14ac:dyDescent="0.25"/>
  <cols>
    <col min="7" max="7" width="8.88671875" customWidth="1"/>
    <col min="10" max="10" width="9.44140625" bestFit="1" customWidth="1"/>
    <col min="11" max="11" width="13.44140625" customWidth="1"/>
  </cols>
  <sheetData>
    <row r="1" spans="1:12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82</v>
      </c>
      <c r="L1" t="s">
        <v>90</v>
      </c>
    </row>
    <row r="2" spans="1:12" x14ac:dyDescent="0.25">
      <c r="A2">
        <v>1</v>
      </c>
      <c r="B2" t="s">
        <v>10</v>
      </c>
      <c r="C2" t="s">
        <v>30</v>
      </c>
      <c r="D2" t="s">
        <v>50</v>
      </c>
      <c r="E2" t="s">
        <v>54</v>
      </c>
      <c r="F2" t="s">
        <v>63</v>
      </c>
      <c r="G2">
        <v>32</v>
      </c>
      <c r="H2" t="s">
        <v>67</v>
      </c>
      <c r="I2" t="s">
        <v>78</v>
      </c>
      <c r="J2" s="1">
        <v>43180</v>
      </c>
      <c r="K2" t="s">
        <v>83</v>
      </c>
      <c r="L2">
        <v>2000</v>
      </c>
    </row>
    <row r="3" spans="1:12" x14ac:dyDescent="0.25">
      <c r="A3">
        <v>2</v>
      </c>
      <c r="B3" t="s">
        <v>11</v>
      </c>
      <c r="C3" t="s">
        <v>31</v>
      </c>
      <c r="D3" t="s">
        <v>50</v>
      </c>
      <c r="E3" t="s">
        <v>54</v>
      </c>
      <c r="F3" t="s">
        <v>63</v>
      </c>
      <c r="G3">
        <v>30</v>
      </c>
      <c r="H3" t="s">
        <v>68</v>
      </c>
      <c r="I3" t="s">
        <v>80</v>
      </c>
      <c r="J3" s="1">
        <v>43214</v>
      </c>
      <c r="K3" t="s">
        <v>83</v>
      </c>
      <c r="L3">
        <v>5000</v>
      </c>
    </row>
    <row r="4" spans="1:12" x14ac:dyDescent="0.25">
      <c r="A4">
        <v>3</v>
      </c>
      <c r="B4" t="s">
        <v>12</v>
      </c>
      <c r="C4" t="s">
        <v>32</v>
      </c>
      <c r="D4" t="s">
        <v>50</v>
      </c>
      <c r="E4" t="s">
        <v>54</v>
      </c>
      <c r="F4" t="s">
        <v>65</v>
      </c>
      <c r="G4">
        <v>27</v>
      </c>
      <c r="H4" t="s">
        <v>69</v>
      </c>
      <c r="I4" t="s">
        <v>78</v>
      </c>
      <c r="J4" s="1">
        <v>43113</v>
      </c>
      <c r="K4" t="s">
        <v>85</v>
      </c>
      <c r="L4">
        <v>300</v>
      </c>
    </row>
    <row r="5" spans="1:12" x14ac:dyDescent="0.25">
      <c r="A5">
        <v>4</v>
      </c>
      <c r="B5" t="s">
        <v>13</v>
      </c>
      <c r="C5" t="s">
        <v>33</v>
      </c>
      <c r="D5" t="s">
        <v>50</v>
      </c>
      <c r="E5" t="s">
        <v>54</v>
      </c>
      <c r="F5" t="s">
        <v>65</v>
      </c>
      <c r="G5">
        <v>26</v>
      </c>
      <c r="H5" t="s">
        <v>70</v>
      </c>
      <c r="I5" t="s">
        <v>78</v>
      </c>
      <c r="J5" s="1">
        <v>43263</v>
      </c>
      <c r="K5" t="s">
        <v>83</v>
      </c>
      <c r="L5">
        <v>4667</v>
      </c>
    </row>
    <row r="6" spans="1:12" x14ac:dyDescent="0.25">
      <c r="A6">
        <v>5</v>
      </c>
      <c r="B6" t="s">
        <v>14</v>
      </c>
      <c r="C6" t="s">
        <v>34</v>
      </c>
      <c r="D6" t="s">
        <v>50</v>
      </c>
      <c r="E6" t="s">
        <v>54</v>
      </c>
      <c r="F6" t="s">
        <v>63</v>
      </c>
      <c r="G6">
        <v>30</v>
      </c>
      <c r="H6" t="s">
        <v>71</v>
      </c>
      <c r="I6" t="s">
        <v>78</v>
      </c>
      <c r="J6" s="1">
        <v>43342</v>
      </c>
      <c r="K6" t="s">
        <v>85</v>
      </c>
      <c r="L6">
        <v>6777</v>
      </c>
    </row>
    <row r="7" spans="1:12" x14ac:dyDescent="0.25">
      <c r="A7">
        <v>6</v>
      </c>
      <c r="B7" t="s">
        <v>15</v>
      </c>
      <c r="C7" t="s">
        <v>35</v>
      </c>
      <c r="D7" t="s">
        <v>50</v>
      </c>
      <c r="E7" t="s">
        <v>54</v>
      </c>
      <c r="F7" t="s">
        <v>63</v>
      </c>
      <c r="G7">
        <v>29</v>
      </c>
      <c r="H7" t="s">
        <v>72</v>
      </c>
      <c r="I7" t="s">
        <v>78</v>
      </c>
      <c r="J7" s="1">
        <v>43455</v>
      </c>
      <c r="K7" t="s">
        <v>83</v>
      </c>
      <c r="L7">
        <v>1222</v>
      </c>
    </row>
    <row r="8" spans="1:12" x14ac:dyDescent="0.25">
      <c r="A8">
        <v>7</v>
      </c>
      <c r="B8" t="s">
        <v>16</v>
      </c>
      <c r="C8" t="s">
        <v>36</v>
      </c>
      <c r="D8" t="s">
        <v>50</v>
      </c>
      <c r="E8" t="s">
        <v>55</v>
      </c>
      <c r="F8" t="s">
        <v>65</v>
      </c>
      <c r="G8">
        <v>28</v>
      </c>
      <c r="H8" t="s">
        <v>67</v>
      </c>
      <c r="I8" t="s">
        <v>80</v>
      </c>
      <c r="J8" s="1">
        <v>43385</v>
      </c>
      <c r="K8" t="s">
        <v>85</v>
      </c>
      <c r="L8">
        <v>4556</v>
      </c>
    </row>
    <row r="9" spans="1:12" x14ac:dyDescent="0.25">
      <c r="A9">
        <v>8</v>
      </c>
      <c r="B9" t="s">
        <v>17</v>
      </c>
      <c r="C9" t="s">
        <v>37</v>
      </c>
      <c r="D9" t="s">
        <v>50</v>
      </c>
      <c r="E9" t="s">
        <v>55</v>
      </c>
      <c r="F9" t="s">
        <v>63</v>
      </c>
      <c r="G9">
        <v>33</v>
      </c>
      <c r="H9" t="s">
        <v>68</v>
      </c>
      <c r="I9" t="s">
        <v>78</v>
      </c>
      <c r="J9" s="1">
        <v>43274</v>
      </c>
      <c r="K9" t="s">
        <v>83</v>
      </c>
      <c r="L9">
        <v>3333</v>
      </c>
    </row>
    <row r="10" spans="1:12" x14ac:dyDescent="0.25">
      <c r="A10">
        <v>9</v>
      </c>
      <c r="B10" t="s">
        <v>18</v>
      </c>
      <c r="C10" t="s">
        <v>38</v>
      </c>
      <c r="D10" t="s">
        <v>51</v>
      </c>
      <c r="E10" t="s">
        <v>56</v>
      </c>
      <c r="F10" t="s">
        <v>63</v>
      </c>
      <c r="G10">
        <v>27</v>
      </c>
      <c r="H10" t="s">
        <v>68</v>
      </c>
      <c r="I10" t="s">
        <v>78</v>
      </c>
      <c r="J10" s="1">
        <v>43232</v>
      </c>
      <c r="K10" t="s">
        <v>85</v>
      </c>
      <c r="L10">
        <v>5567</v>
      </c>
    </row>
    <row r="11" spans="1:12" x14ac:dyDescent="0.25">
      <c r="A11">
        <v>10</v>
      </c>
      <c r="B11" t="s">
        <v>19</v>
      </c>
      <c r="C11" t="s">
        <v>39</v>
      </c>
      <c r="D11" t="s">
        <v>51</v>
      </c>
      <c r="E11" t="s">
        <v>56</v>
      </c>
      <c r="F11" t="s">
        <v>65</v>
      </c>
      <c r="G11">
        <v>24</v>
      </c>
      <c r="H11" t="s">
        <v>70</v>
      </c>
      <c r="I11" t="s">
        <v>78</v>
      </c>
      <c r="J11" s="1">
        <v>43263</v>
      </c>
      <c r="K11" t="s">
        <v>85</v>
      </c>
      <c r="L11">
        <v>3333</v>
      </c>
    </row>
    <row r="12" spans="1:12" x14ac:dyDescent="0.25">
      <c r="A12">
        <v>11</v>
      </c>
      <c r="B12" t="s">
        <v>20</v>
      </c>
      <c r="C12" t="s">
        <v>40</v>
      </c>
      <c r="D12" t="s">
        <v>51</v>
      </c>
      <c r="E12" t="s">
        <v>56</v>
      </c>
      <c r="F12" t="s">
        <v>65</v>
      </c>
      <c r="G12">
        <v>25</v>
      </c>
      <c r="H12" t="s">
        <v>73</v>
      </c>
      <c r="I12" t="s">
        <v>78</v>
      </c>
      <c r="J12" s="1">
        <v>43422</v>
      </c>
      <c r="K12" t="s">
        <v>83</v>
      </c>
      <c r="L12">
        <v>6333</v>
      </c>
    </row>
    <row r="13" spans="1:12" x14ac:dyDescent="0.25">
      <c r="A13">
        <v>12</v>
      </c>
      <c r="B13" t="s">
        <v>21</v>
      </c>
      <c r="C13" t="s">
        <v>41</v>
      </c>
      <c r="D13" t="s">
        <v>51</v>
      </c>
      <c r="E13" t="s">
        <v>57</v>
      </c>
      <c r="F13" t="s">
        <v>65</v>
      </c>
      <c r="G13">
        <v>24</v>
      </c>
      <c r="H13" t="s">
        <v>74</v>
      </c>
      <c r="I13" t="s">
        <v>78</v>
      </c>
      <c r="J13" s="1">
        <v>43447</v>
      </c>
      <c r="K13" t="s">
        <v>87</v>
      </c>
      <c r="L13">
        <v>2456</v>
      </c>
    </row>
    <row r="14" spans="1:12" x14ac:dyDescent="0.25">
      <c r="A14">
        <v>13</v>
      </c>
      <c r="B14" t="s">
        <v>22</v>
      </c>
      <c r="C14" t="s">
        <v>42</v>
      </c>
      <c r="D14" t="s">
        <v>51</v>
      </c>
      <c r="E14" t="s">
        <v>57</v>
      </c>
      <c r="F14" t="s">
        <v>65</v>
      </c>
      <c r="G14">
        <v>25</v>
      </c>
      <c r="H14" t="s">
        <v>71</v>
      </c>
      <c r="I14" t="s">
        <v>80</v>
      </c>
      <c r="J14" s="1">
        <v>43162</v>
      </c>
      <c r="K14" t="s">
        <v>85</v>
      </c>
      <c r="L14">
        <v>3333</v>
      </c>
    </row>
    <row r="15" spans="1:12" x14ac:dyDescent="0.25">
      <c r="A15">
        <v>14</v>
      </c>
      <c r="B15" t="s">
        <v>23</v>
      </c>
      <c r="C15" t="s">
        <v>43</v>
      </c>
      <c r="D15" t="s">
        <v>51</v>
      </c>
      <c r="E15" t="s">
        <v>58</v>
      </c>
      <c r="F15" t="s">
        <v>63</v>
      </c>
      <c r="G15">
        <v>28</v>
      </c>
      <c r="H15" t="s">
        <v>75</v>
      </c>
      <c r="I15" t="s">
        <v>80</v>
      </c>
      <c r="J15" s="1">
        <v>43315</v>
      </c>
      <c r="K15" t="s">
        <v>85</v>
      </c>
      <c r="L15">
        <v>2222</v>
      </c>
    </row>
    <row r="16" spans="1:12" x14ac:dyDescent="0.25">
      <c r="A16">
        <v>15</v>
      </c>
      <c r="B16" t="s">
        <v>24</v>
      </c>
      <c r="C16" t="s">
        <v>44</v>
      </c>
      <c r="D16" t="s">
        <v>52</v>
      </c>
      <c r="E16" t="s">
        <v>59</v>
      </c>
      <c r="F16" t="s">
        <v>65</v>
      </c>
      <c r="G16">
        <v>26</v>
      </c>
      <c r="H16" t="s">
        <v>75</v>
      </c>
      <c r="I16" t="s">
        <v>78</v>
      </c>
      <c r="J16" s="1">
        <v>43362</v>
      </c>
      <c r="K16" t="s">
        <v>85</v>
      </c>
      <c r="L16">
        <v>8000</v>
      </c>
    </row>
    <row r="17" spans="1:12" x14ac:dyDescent="0.25">
      <c r="A17">
        <v>16</v>
      </c>
      <c r="B17" t="s">
        <v>25</v>
      </c>
      <c r="C17" t="s">
        <v>45</v>
      </c>
      <c r="D17" t="s">
        <v>52</v>
      </c>
      <c r="E17" t="s">
        <v>59</v>
      </c>
      <c r="F17" t="s">
        <v>65</v>
      </c>
      <c r="G17">
        <v>25</v>
      </c>
      <c r="H17" t="s">
        <v>67</v>
      </c>
      <c r="I17" t="s">
        <v>78</v>
      </c>
      <c r="J17" s="1">
        <v>43341</v>
      </c>
      <c r="K17" t="s">
        <v>83</v>
      </c>
      <c r="L17">
        <v>4444</v>
      </c>
    </row>
    <row r="18" spans="1:12" x14ac:dyDescent="0.25">
      <c r="A18">
        <v>17</v>
      </c>
      <c r="B18" t="s">
        <v>26</v>
      </c>
      <c r="C18" t="s">
        <v>46</v>
      </c>
      <c r="D18" t="s">
        <v>52</v>
      </c>
      <c r="E18" t="s">
        <v>60</v>
      </c>
      <c r="F18" t="s">
        <v>63</v>
      </c>
      <c r="G18">
        <v>28</v>
      </c>
      <c r="H18" t="s">
        <v>73</v>
      </c>
      <c r="I18" t="s">
        <v>80</v>
      </c>
      <c r="J18" s="1">
        <v>43231</v>
      </c>
      <c r="K18" t="s">
        <v>85</v>
      </c>
      <c r="L18">
        <v>2222</v>
      </c>
    </row>
    <row r="19" spans="1:12" x14ac:dyDescent="0.25">
      <c r="A19">
        <v>18</v>
      </c>
      <c r="B19" t="s">
        <v>27</v>
      </c>
      <c r="C19" t="s">
        <v>47</v>
      </c>
      <c r="D19" t="s">
        <v>52</v>
      </c>
      <c r="E19" t="s">
        <v>60</v>
      </c>
      <c r="F19" t="s">
        <v>65</v>
      </c>
      <c r="G19">
        <v>25</v>
      </c>
      <c r="H19" t="s">
        <v>76</v>
      </c>
      <c r="I19" t="s">
        <v>78</v>
      </c>
      <c r="J19" s="1">
        <v>43290</v>
      </c>
      <c r="K19" t="s">
        <v>87</v>
      </c>
      <c r="L19">
        <v>4567</v>
      </c>
    </row>
    <row r="20" spans="1:12" x14ac:dyDescent="0.25">
      <c r="A20">
        <v>19</v>
      </c>
      <c r="B20" t="s">
        <v>28</v>
      </c>
      <c r="C20" t="s">
        <v>48</v>
      </c>
      <c r="D20" t="s">
        <v>53</v>
      </c>
      <c r="E20" t="s">
        <v>61</v>
      </c>
      <c r="F20" t="s">
        <v>65</v>
      </c>
      <c r="G20">
        <v>32</v>
      </c>
      <c r="H20" t="s">
        <v>77</v>
      </c>
      <c r="I20" t="s">
        <v>80</v>
      </c>
      <c r="J20" s="1">
        <v>43344</v>
      </c>
      <c r="K20" t="s">
        <v>83</v>
      </c>
      <c r="L20">
        <v>2573</v>
      </c>
    </row>
    <row r="21" spans="1:12" x14ac:dyDescent="0.25">
      <c r="A21">
        <v>20</v>
      </c>
      <c r="B21" t="s">
        <v>29</v>
      </c>
      <c r="C21" t="s">
        <v>49</v>
      </c>
      <c r="D21" t="s">
        <v>53</v>
      </c>
      <c r="E21" t="s">
        <v>62</v>
      </c>
      <c r="F21" t="s">
        <v>65</v>
      </c>
      <c r="G21">
        <v>28</v>
      </c>
      <c r="H21" t="s">
        <v>67</v>
      </c>
      <c r="I21" t="s">
        <v>78</v>
      </c>
      <c r="J21" s="1">
        <v>43252</v>
      </c>
      <c r="K21" t="s">
        <v>85</v>
      </c>
      <c r="L21">
        <v>2456</v>
      </c>
    </row>
    <row r="22" spans="1:1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 t="s">
        <v>91</v>
      </c>
      <c r="L22">
        <f>SUM(L2:L21)</f>
        <v>75361</v>
      </c>
    </row>
    <row r="43" spans="2:4" x14ac:dyDescent="0.25">
      <c r="B43" t="s">
        <v>64</v>
      </c>
      <c r="C43" t="s">
        <v>79</v>
      </c>
      <c r="D43" t="s">
        <v>84</v>
      </c>
    </row>
    <row r="44" spans="2:4" x14ac:dyDescent="0.25">
      <c r="B44" t="s">
        <v>66</v>
      </c>
      <c r="C44" t="s">
        <v>81</v>
      </c>
      <c r="D44" t="s">
        <v>86</v>
      </c>
    </row>
    <row r="45" spans="2:4" x14ac:dyDescent="0.25">
      <c r="D45" t="s">
        <v>88</v>
      </c>
    </row>
  </sheetData>
  <phoneticPr fontId="1" type="noConversion"/>
  <dataValidations count="3">
    <dataValidation type="list" allowBlank="1" showInputMessage="1" showErrorMessage="1" sqref="K2:K21" xr:uid="{00000000-0002-0000-0400-000000000000}">
      <formula1>$D$43:$D$45</formula1>
    </dataValidation>
    <dataValidation type="list" allowBlank="1" showInputMessage="1" showErrorMessage="1" sqref="I2:I21" xr:uid="{00000000-0002-0000-0400-000001000000}">
      <formula1>$C$43:$C$44</formula1>
    </dataValidation>
    <dataValidation type="list" allowBlank="1" showInputMessage="1" showErrorMessage="1" sqref="F2:F21" xr:uid="{00000000-0002-0000-0400-000002000000}">
      <formula1>$B$43:$B$44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"/>
  <sheetViews>
    <sheetView zoomScale="130" zoomScaleNormal="130" workbookViewId="0">
      <selection activeCell="L9" sqref="L9"/>
    </sheetView>
  </sheetViews>
  <sheetFormatPr defaultRowHeight="14.4" x14ac:dyDescent="0.25"/>
  <cols>
    <col min="7" max="7" width="8.88671875" customWidth="1"/>
    <col min="10" max="10" width="9.44140625" bestFit="1" customWidth="1"/>
    <col min="11" max="11" width="13.44140625" customWidth="1"/>
  </cols>
  <sheetData>
    <row r="1" spans="1:12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82</v>
      </c>
      <c r="L1" t="s">
        <v>90</v>
      </c>
    </row>
    <row r="2" spans="1:12" x14ac:dyDescent="0.25">
      <c r="A2">
        <v>1</v>
      </c>
      <c r="B2" t="s">
        <v>10</v>
      </c>
      <c r="C2" t="s">
        <v>30</v>
      </c>
      <c r="D2" t="s">
        <v>50</v>
      </c>
      <c r="E2" t="s">
        <v>54</v>
      </c>
      <c r="F2" t="s">
        <v>63</v>
      </c>
      <c r="G2">
        <v>32</v>
      </c>
      <c r="H2" t="s">
        <v>67</v>
      </c>
      <c r="I2" t="s">
        <v>78</v>
      </c>
      <c r="J2" s="1">
        <v>43180</v>
      </c>
      <c r="K2" t="s">
        <v>83</v>
      </c>
      <c r="L2">
        <v>2000</v>
      </c>
    </row>
    <row r="3" spans="1:12" x14ac:dyDescent="0.25">
      <c r="A3">
        <v>2</v>
      </c>
      <c r="B3" t="s">
        <v>11</v>
      </c>
      <c r="C3" t="s">
        <v>31</v>
      </c>
      <c r="D3" t="s">
        <v>50</v>
      </c>
      <c r="E3" t="s">
        <v>54</v>
      </c>
      <c r="F3" t="s">
        <v>63</v>
      </c>
      <c r="G3">
        <v>30</v>
      </c>
      <c r="H3" t="s">
        <v>68</v>
      </c>
      <c r="I3" t="s">
        <v>80</v>
      </c>
      <c r="J3" s="1">
        <v>43214</v>
      </c>
      <c r="K3" t="s">
        <v>83</v>
      </c>
      <c r="L3">
        <v>5000</v>
      </c>
    </row>
    <row r="4" spans="1:12" x14ac:dyDescent="0.25">
      <c r="A4">
        <v>3</v>
      </c>
      <c r="B4" t="s">
        <v>12</v>
      </c>
      <c r="C4" t="s">
        <v>32</v>
      </c>
      <c r="D4" t="s">
        <v>50</v>
      </c>
      <c r="E4" t="s">
        <v>54</v>
      </c>
      <c r="F4" t="s">
        <v>65</v>
      </c>
      <c r="G4">
        <v>27</v>
      </c>
      <c r="H4" t="s">
        <v>69</v>
      </c>
      <c r="I4" t="s">
        <v>78</v>
      </c>
      <c r="J4" s="1">
        <v>43113</v>
      </c>
      <c r="K4" t="s">
        <v>85</v>
      </c>
      <c r="L4">
        <v>300</v>
      </c>
    </row>
    <row r="5" spans="1:12" x14ac:dyDescent="0.25">
      <c r="A5">
        <v>4</v>
      </c>
      <c r="B5" t="s">
        <v>13</v>
      </c>
      <c r="C5" t="s">
        <v>33</v>
      </c>
      <c r="D5" t="s">
        <v>50</v>
      </c>
      <c r="E5" t="s">
        <v>54</v>
      </c>
      <c r="F5" t="s">
        <v>65</v>
      </c>
      <c r="G5">
        <v>26</v>
      </c>
      <c r="H5" t="s">
        <v>70</v>
      </c>
      <c r="I5" t="s">
        <v>78</v>
      </c>
      <c r="J5" s="1">
        <v>43263</v>
      </c>
      <c r="K5" t="s">
        <v>83</v>
      </c>
      <c r="L5">
        <v>4667</v>
      </c>
    </row>
    <row r="6" spans="1:12" x14ac:dyDescent="0.25">
      <c r="A6">
        <v>5</v>
      </c>
      <c r="B6" t="s">
        <v>14</v>
      </c>
      <c r="C6" t="s">
        <v>34</v>
      </c>
      <c r="D6" t="s">
        <v>50</v>
      </c>
      <c r="E6" t="s">
        <v>54</v>
      </c>
      <c r="F6" t="s">
        <v>63</v>
      </c>
      <c r="G6">
        <v>30</v>
      </c>
      <c r="H6" t="s">
        <v>71</v>
      </c>
      <c r="I6" t="s">
        <v>78</v>
      </c>
      <c r="J6" s="1">
        <v>43342</v>
      </c>
      <c r="K6" t="s">
        <v>85</v>
      </c>
      <c r="L6">
        <v>0</v>
      </c>
    </row>
    <row r="7" spans="1:12" x14ac:dyDescent="0.25">
      <c r="A7">
        <v>6</v>
      </c>
      <c r="B7" t="s">
        <v>15</v>
      </c>
      <c r="C7" t="s">
        <v>35</v>
      </c>
      <c r="D7" t="s">
        <v>50</v>
      </c>
      <c r="E7" t="s">
        <v>54</v>
      </c>
      <c r="F7" t="s">
        <v>63</v>
      </c>
      <c r="G7">
        <v>29</v>
      </c>
      <c r="H7" t="s">
        <v>72</v>
      </c>
      <c r="I7" t="s">
        <v>78</v>
      </c>
      <c r="J7" s="1">
        <v>43455</v>
      </c>
      <c r="K7" t="s">
        <v>83</v>
      </c>
      <c r="L7">
        <v>1222</v>
      </c>
    </row>
    <row r="8" spans="1:12" x14ac:dyDescent="0.25">
      <c r="A8">
        <v>7</v>
      </c>
      <c r="B8" t="s">
        <v>16</v>
      </c>
      <c r="C8" t="s">
        <v>36</v>
      </c>
      <c r="D8" t="s">
        <v>50</v>
      </c>
      <c r="E8" t="s">
        <v>55</v>
      </c>
      <c r="F8" t="s">
        <v>65</v>
      </c>
      <c r="G8">
        <v>28</v>
      </c>
      <c r="H8" t="s">
        <v>67</v>
      </c>
      <c r="I8" t="s">
        <v>80</v>
      </c>
      <c r="J8" s="1">
        <v>43385</v>
      </c>
      <c r="K8" t="s">
        <v>85</v>
      </c>
      <c r="L8">
        <v>4556</v>
      </c>
    </row>
    <row r="9" spans="1:12" x14ac:dyDescent="0.25">
      <c r="A9">
        <v>8</v>
      </c>
      <c r="B9" t="s">
        <v>17</v>
      </c>
      <c r="C9" t="s">
        <v>37</v>
      </c>
      <c r="D9" t="s">
        <v>50</v>
      </c>
      <c r="E9" t="s">
        <v>55</v>
      </c>
      <c r="F9" t="s">
        <v>63</v>
      </c>
      <c r="G9">
        <v>33</v>
      </c>
      <c r="H9" t="s">
        <v>68</v>
      </c>
      <c r="I9" t="s">
        <v>78</v>
      </c>
      <c r="J9" s="1">
        <v>43274</v>
      </c>
      <c r="K9" t="s">
        <v>83</v>
      </c>
      <c r="L9" s="4"/>
    </row>
    <row r="10" spans="1:12" x14ac:dyDescent="0.25">
      <c r="A10">
        <v>9</v>
      </c>
      <c r="B10" t="s">
        <v>18</v>
      </c>
      <c r="C10" t="s">
        <v>38</v>
      </c>
      <c r="D10" t="s">
        <v>51</v>
      </c>
      <c r="E10" t="s">
        <v>56</v>
      </c>
      <c r="F10" t="s">
        <v>63</v>
      </c>
      <c r="G10">
        <v>27</v>
      </c>
      <c r="H10" t="s">
        <v>68</v>
      </c>
      <c r="I10" t="s">
        <v>78</v>
      </c>
      <c r="J10" s="1">
        <v>43232</v>
      </c>
      <c r="K10" t="s">
        <v>85</v>
      </c>
      <c r="L10">
        <v>5567</v>
      </c>
    </row>
    <row r="11" spans="1:12" x14ac:dyDescent="0.25">
      <c r="A11">
        <v>10</v>
      </c>
      <c r="B11" t="s">
        <v>19</v>
      </c>
      <c r="C11" t="s">
        <v>39</v>
      </c>
      <c r="D11" t="s">
        <v>51</v>
      </c>
      <c r="E11" t="s">
        <v>56</v>
      </c>
      <c r="F11" t="s">
        <v>65</v>
      </c>
      <c r="G11">
        <v>24</v>
      </c>
      <c r="H11" t="s">
        <v>70</v>
      </c>
      <c r="I11" t="s">
        <v>78</v>
      </c>
      <c r="J11" s="1">
        <v>43263</v>
      </c>
      <c r="K11" t="s">
        <v>85</v>
      </c>
      <c r="L11">
        <v>3333</v>
      </c>
    </row>
    <row r="12" spans="1:12" x14ac:dyDescent="0.25">
      <c r="A12">
        <v>11</v>
      </c>
      <c r="B12" t="s">
        <v>20</v>
      </c>
      <c r="C12" t="s">
        <v>40</v>
      </c>
      <c r="D12" t="s">
        <v>51</v>
      </c>
      <c r="E12" t="s">
        <v>56</v>
      </c>
      <c r="F12" t="s">
        <v>65</v>
      </c>
      <c r="G12">
        <v>25</v>
      </c>
      <c r="H12" t="s">
        <v>73</v>
      </c>
      <c r="I12" t="s">
        <v>78</v>
      </c>
      <c r="J12" s="1">
        <v>43422</v>
      </c>
      <c r="K12" t="s">
        <v>83</v>
      </c>
      <c r="L12">
        <v>6333</v>
      </c>
    </row>
    <row r="13" spans="1:12" x14ac:dyDescent="0.25">
      <c r="A13">
        <v>12</v>
      </c>
      <c r="B13" t="s">
        <v>21</v>
      </c>
      <c r="C13" t="s">
        <v>41</v>
      </c>
      <c r="D13" t="s">
        <v>51</v>
      </c>
      <c r="E13" t="s">
        <v>57</v>
      </c>
      <c r="F13" t="s">
        <v>65</v>
      </c>
      <c r="G13">
        <v>24</v>
      </c>
      <c r="H13" t="s">
        <v>74</v>
      </c>
      <c r="I13" t="s">
        <v>78</v>
      </c>
      <c r="J13" s="1">
        <v>43447</v>
      </c>
      <c r="K13" t="s">
        <v>87</v>
      </c>
      <c r="L13">
        <v>2456</v>
      </c>
    </row>
    <row r="14" spans="1:12" x14ac:dyDescent="0.25">
      <c r="A14">
        <v>13</v>
      </c>
      <c r="B14" t="s">
        <v>22</v>
      </c>
      <c r="C14" t="s">
        <v>42</v>
      </c>
      <c r="D14" t="s">
        <v>51</v>
      </c>
      <c r="E14" t="s">
        <v>57</v>
      </c>
      <c r="F14" t="s">
        <v>65</v>
      </c>
      <c r="G14">
        <v>25</v>
      </c>
      <c r="H14" t="s">
        <v>71</v>
      </c>
      <c r="I14" t="s">
        <v>80</v>
      </c>
      <c r="J14" s="1">
        <v>43162</v>
      </c>
      <c r="K14" t="s">
        <v>85</v>
      </c>
      <c r="L14">
        <v>3333</v>
      </c>
    </row>
    <row r="15" spans="1:12" x14ac:dyDescent="0.25">
      <c r="A15">
        <v>14</v>
      </c>
      <c r="B15" t="s">
        <v>23</v>
      </c>
      <c r="C15" t="s">
        <v>43</v>
      </c>
      <c r="D15" t="s">
        <v>51</v>
      </c>
      <c r="E15" t="s">
        <v>58</v>
      </c>
      <c r="F15" t="s">
        <v>63</v>
      </c>
      <c r="G15">
        <v>28</v>
      </c>
      <c r="H15" t="s">
        <v>75</v>
      </c>
      <c r="I15" t="s">
        <v>80</v>
      </c>
      <c r="J15" s="1">
        <v>43315</v>
      </c>
      <c r="K15" t="s">
        <v>85</v>
      </c>
      <c r="L15">
        <v>2222</v>
      </c>
    </row>
    <row r="16" spans="1:12" x14ac:dyDescent="0.25">
      <c r="A16">
        <v>15</v>
      </c>
      <c r="B16" t="s">
        <v>24</v>
      </c>
      <c r="C16" t="s">
        <v>44</v>
      </c>
      <c r="D16" t="s">
        <v>52</v>
      </c>
      <c r="E16" t="s">
        <v>59</v>
      </c>
      <c r="F16" t="s">
        <v>65</v>
      </c>
      <c r="G16">
        <v>26</v>
      </c>
      <c r="H16" t="s">
        <v>75</v>
      </c>
      <c r="I16" t="s">
        <v>78</v>
      </c>
      <c r="J16" s="1">
        <v>43362</v>
      </c>
      <c r="K16" t="s">
        <v>85</v>
      </c>
      <c r="L16">
        <v>8000</v>
      </c>
    </row>
    <row r="17" spans="1:12" x14ac:dyDescent="0.25">
      <c r="A17">
        <v>16</v>
      </c>
      <c r="B17" t="s">
        <v>25</v>
      </c>
      <c r="C17" t="s">
        <v>45</v>
      </c>
      <c r="D17" t="s">
        <v>52</v>
      </c>
      <c r="E17" t="s">
        <v>59</v>
      </c>
      <c r="F17" t="s">
        <v>65</v>
      </c>
      <c r="G17">
        <v>25</v>
      </c>
      <c r="H17" t="s">
        <v>67</v>
      </c>
      <c r="I17" t="s">
        <v>78</v>
      </c>
      <c r="J17" s="1">
        <v>43341</v>
      </c>
      <c r="K17" t="s">
        <v>83</v>
      </c>
      <c r="L17">
        <v>4444</v>
      </c>
    </row>
    <row r="18" spans="1:12" x14ac:dyDescent="0.25">
      <c r="A18">
        <v>17</v>
      </c>
      <c r="B18" t="s">
        <v>26</v>
      </c>
      <c r="C18" t="s">
        <v>46</v>
      </c>
      <c r="D18" t="s">
        <v>52</v>
      </c>
      <c r="E18" t="s">
        <v>60</v>
      </c>
      <c r="F18" t="s">
        <v>63</v>
      </c>
      <c r="G18">
        <v>28</v>
      </c>
      <c r="H18" t="s">
        <v>73</v>
      </c>
      <c r="I18" t="s">
        <v>80</v>
      </c>
      <c r="J18" s="1">
        <v>43231</v>
      </c>
      <c r="K18" t="s">
        <v>85</v>
      </c>
      <c r="L18">
        <v>2222</v>
      </c>
    </row>
    <row r="19" spans="1:12" x14ac:dyDescent="0.25">
      <c r="A19">
        <v>18</v>
      </c>
      <c r="B19" t="s">
        <v>27</v>
      </c>
      <c r="C19" t="s">
        <v>47</v>
      </c>
      <c r="D19" t="s">
        <v>52</v>
      </c>
      <c r="E19" t="s">
        <v>60</v>
      </c>
      <c r="F19" t="s">
        <v>65</v>
      </c>
      <c r="G19">
        <v>25</v>
      </c>
      <c r="H19" t="s">
        <v>76</v>
      </c>
      <c r="I19" t="s">
        <v>78</v>
      </c>
      <c r="J19" s="1">
        <v>43290</v>
      </c>
      <c r="K19" t="s">
        <v>87</v>
      </c>
      <c r="L19">
        <v>4567</v>
      </c>
    </row>
    <row r="20" spans="1:12" x14ac:dyDescent="0.25">
      <c r="A20">
        <v>19</v>
      </c>
      <c r="B20" t="s">
        <v>28</v>
      </c>
      <c r="C20" t="s">
        <v>48</v>
      </c>
      <c r="D20" t="s">
        <v>53</v>
      </c>
      <c r="E20" t="s">
        <v>61</v>
      </c>
      <c r="F20" t="s">
        <v>65</v>
      </c>
      <c r="G20">
        <v>32</v>
      </c>
      <c r="H20" t="s">
        <v>77</v>
      </c>
      <c r="I20" t="s">
        <v>80</v>
      </c>
      <c r="J20" s="1">
        <v>43344</v>
      </c>
      <c r="K20" t="s">
        <v>83</v>
      </c>
      <c r="L20">
        <v>2573</v>
      </c>
    </row>
    <row r="21" spans="1:12" x14ac:dyDescent="0.25">
      <c r="A21">
        <v>20</v>
      </c>
      <c r="B21" t="s">
        <v>29</v>
      </c>
      <c r="C21" t="s">
        <v>49</v>
      </c>
      <c r="D21" t="s">
        <v>53</v>
      </c>
      <c r="E21" t="s">
        <v>62</v>
      </c>
      <c r="F21" t="s">
        <v>65</v>
      </c>
      <c r="G21">
        <v>28</v>
      </c>
      <c r="H21" t="s">
        <v>67</v>
      </c>
      <c r="I21" t="s">
        <v>78</v>
      </c>
      <c r="J21" s="1">
        <v>43252</v>
      </c>
      <c r="K21" t="s">
        <v>85</v>
      </c>
      <c r="L21">
        <v>2456</v>
      </c>
    </row>
    <row r="43" spans="2:4" x14ac:dyDescent="0.25">
      <c r="B43" t="s">
        <v>64</v>
      </c>
      <c r="C43" t="s">
        <v>79</v>
      </c>
      <c r="D43" t="s">
        <v>84</v>
      </c>
    </row>
    <row r="44" spans="2:4" x14ac:dyDescent="0.25">
      <c r="B44" t="s">
        <v>66</v>
      </c>
      <c r="C44" t="s">
        <v>81</v>
      </c>
      <c r="D44" t="s">
        <v>86</v>
      </c>
    </row>
    <row r="45" spans="2:4" x14ac:dyDescent="0.25">
      <c r="D45" t="s">
        <v>88</v>
      </c>
    </row>
  </sheetData>
  <phoneticPr fontId="1" type="noConversion"/>
  <dataValidations count="3">
    <dataValidation type="list" allowBlank="1" showInputMessage="1" showErrorMessage="1" sqref="F2:F21" xr:uid="{00000000-0002-0000-0500-000000000000}">
      <formula1>$B$43:$B$44</formula1>
    </dataValidation>
    <dataValidation type="list" allowBlank="1" showInputMessage="1" showErrorMessage="1" sqref="I2:I21" xr:uid="{00000000-0002-0000-0500-000001000000}">
      <formula1>$C$43:$C$44</formula1>
    </dataValidation>
    <dataValidation type="list" allowBlank="1" showInputMessage="1" showErrorMessage="1" sqref="K2:K21" xr:uid="{00000000-0002-0000-0500-000002000000}">
      <formula1>$D$43:$D$45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"/>
  <sheetViews>
    <sheetView zoomScale="115" zoomScaleNormal="115" workbookViewId="0">
      <selection activeCell="A19" sqref="A19:K19"/>
    </sheetView>
  </sheetViews>
  <sheetFormatPr defaultRowHeight="14.4" x14ac:dyDescent="0.25"/>
  <cols>
    <col min="7" max="7" width="8.88671875" customWidth="1"/>
    <col min="10" max="10" width="9.44140625" bestFit="1" customWidth="1"/>
    <col min="11" max="11" width="13.44140625" customWidth="1"/>
  </cols>
  <sheetData>
    <row r="1" spans="1:11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82</v>
      </c>
    </row>
    <row r="2" spans="1:11" x14ac:dyDescent="0.25">
      <c r="A2">
        <v>1</v>
      </c>
      <c r="B2" t="s">
        <v>10</v>
      </c>
      <c r="C2" t="s">
        <v>30</v>
      </c>
      <c r="D2" t="s">
        <v>50</v>
      </c>
      <c r="E2" t="s">
        <v>54</v>
      </c>
      <c r="F2" t="s">
        <v>63</v>
      </c>
      <c r="G2">
        <v>32</v>
      </c>
      <c r="H2" t="s">
        <v>67</v>
      </c>
      <c r="I2" t="s">
        <v>78</v>
      </c>
      <c r="J2" s="1">
        <v>43180</v>
      </c>
      <c r="K2" t="s">
        <v>83</v>
      </c>
    </row>
    <row r="3" spans="1:11" x14ac:dyDescent="0.25">
      <c r="A3">
        <v>2</v>
      </c>
      <c r="B3" t="s">
        <v>11</v>
      </c>
      <c r="C3" t="s">
        <v>31</v>
      </c>
      <c r="D3" t="s">
        <v>50</v>
      </c>
      <c r="E3" t="s">
        <v>54</v>
      </c>
      <c r="F3" t="s">
        <v>63</v>
      </c>
      <c r="G3">
        <v>30</v>
      </c>
      <c r="H3" t="s">
        <v>68</v>
      </c>
      <c r="I3" t="s">
        <v>80</v>
      </c>
      <c r="J3" s="1">
        <v>43214</v>
      </c>
      <c r="K3" t="s">
        <v>83</v>
      </c>
    </row>
    <row r="4" spans="1:11" x14ac:dyDescent="0.25">
      <c r="A4">
        <v>3</v>
      </c>
      <c r="B4" t="s">
        <v>12</v>
      </c>
      <c r="C4" t="s">
        <v>32</v>
      </c>
      <c r="D4" t="s">
        <v>50</v>
      </c>
      <c r="E4" t="s">
        <v>54</v>
      </c>
      <c r="F4" t="s">
        <v>65</v>
      </c>
      <c r="G4">
        <v>27</v>
      </c>
      <c r="H4" t="s">
        <v>69</v>
      </c>
      <c r="I4" t="s">
        <v>78</v>
      </c>
      <c r="J4" s="1">
        <v>43113</v>
      </c>
      <c r="K4" t="s">
        <v>85</v>
      </c>
    </row>
    <row r="5" spans="1:11" x14ac:dyDescent="0.25">
      <c r="A5">
        <v>4</v>
      </c>
      <c r="B5" t="s">
        <v>13</v>
      </c>
      <c r="C5" t="s">
        <v>33</v>
      </c>
      <c r="D5" t="s">
        <v>50</v>
      </c>
      <c r="E5" t="s">
        <v>54</v>
      </c>
      <c r="F5" t="s">
        <v>65</v>
      </c>
      <c r="G5">
        <v>26</v>
      </c>
      <c r="H5" t="s">
        <v>70</v>
      </c>
      <c r="I5" t="s">
        <v>78</v>
      </c>
      <c r="J5" s="1">
        <v>43263</v>
      </c>
      <c r="K5" t="s">
        <v>83</v>
      </c>
    </row>
    <row r="6" spans="1:11" x14ac:dyDescent="0.25">
      <c r="A6">
        <v>5</v>
      </c>
      <c r="B6" t="s">
        <v>14</v>
      </c>
      <c r="C6" t="s">
        <v>34</v>
      </c>
      <c r="D6" t="s">
        <v>50</v>
      </c>
      <c r="E6" t="s">
        <v>54</v>
      </c>
      <c r="F6" t="s">
        <v>63</v>
      </c>
      <c r="G6">
        <v>30</v>
      </c>
      <c r="H6" t="s">
        <v>71</v>
      </c>
      <c r="I6" t="s">
        <v>78</v>
      </c>
      <c r="J6" s="1">
        <v>43342</v>
      </c>
      <c r="K6" t="s">
        <v>85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6"/>
      <c r="K7" s="4"/>
    </row>
    <row r="8" spans="1:11" x14ac:dyDescent="0.25">
      <c r="A8">
        <v>6</v>
      </c>
      <c r="B8" t="s">
        <v>15</v>
      </c>
      <c r="C8" t="s">
        <v>35</v>
      </c>
      <c r="D8" t="s">
        <v>50</v>
      </c>
      <c r="E8" t="s">
        <v>54</v>
      </c>
      <c r="F8" t="s">
        <v>63</v>
      </c>
      <c r="G8">
        <v>29</v>
      </c>
      <c r="H8" t="s">
        <v>72</v>
      </c>
      <c r="I8" t="s">
        <v>78</v>
      </c>
      <c r="J8" s="1">
        <v>43455</v>
      </c>
      <c r="K8" t="s">
        <v>83</v>
      </c>
    </row>
    <row r="9" spans="1:11" x14ac:dyDescent="0.25">
      <c r="A9">
        <v>7</v>
      </c>
      <c r="B9" t="s">
        <v>16</v>
      </c>
      <c r="C9" t="s">
        <v>36</v>
      </c>
      <c r="D9" t="s">
        <v>50</v>
      </c>
      <c r="E9" t="s">
        <v>55</v>
      </c>
      <c r="F9" t="s">
        <v>65</v>
      </c>
      <c r="G9">
        <v>28</v>
      </c>
      <c r="H9" t="s">
        <v>67</v>
      </c>
      <c r="I9" t="s">
        <v>80</v>
      </c>
      <c r="J9" s="1">
        <v>43385</v>
      </c>
      <c r="K9" t="s">
        <v>85</v>
      </c>
    </row>
    <row r="10" spans="1:11" x14ac:dyDescent="0.25">
      <c r="A10">
        <v>8</v>
      </c>
      <c r="B10" t="s">
        <v>17</v>
      </c>
      <c r="C10" t="s">
        <v>37</v>
      </c>
      <c r="D10" t="s">
        <v>50</v>
      </c>
      <c r="E10" t="s">
        <v>55</v>
      </c>
      <c r="F10" t="s">
        <v>63</v>
      </c>
      <c r="G10">
        <v>33</v>
      </c>
      <c r="H10" t="s">
        <v>68</v>
      </c>
      <c r="I10" t="s">
        <v>78</v>
      </c>
      <c r="J10" s="1">
        <v>43274</v>
      </c>
      <c r="K10" t="s">
        <v>83</v>
      </c>
    </row>
    <row r="11" spans="1:11" x14ac:dyDescent="0.25">
      <c r="A11">
        <v>9</v>
      </c>
      <c r="B11" t="s">
        <v>18</v>
      </c>
      <c r="C11" t="s">
        <v>38</v>
      </c>
      <c r="D11" t="s">
        <v>51</v>
      </c>
      <c r="E11" t="s">
        <v>56</v>
      </c>
      <c r="F11" t="s">
        <v>63</v>
      </c>
      <c r="G11">
        <v>27</v>
      </c>
      <c r="H11" t="s">
        <v>68</v>
      </c>
      <c r="I11" t="s">
        <v>78</v>
      </c>
      <c r="J11" s="1">
        <v>43232</v>
      </c>
      <c r="K11" t="s">
        <v>85</v>
      </c>
    </row>
    <row r="12" spans="1:11" x14ac:dyDescent="0.25">
      <c r="A12">
        <v>10</v>
      </c>
      <c r="B12" t="s">
        <v>19</v>
      </c>
      <c r="C12" t="s">
        <v>39</v>
      </c>
      <c r="D12" t="s">
        <v>51</v>
      </c>
      <c r="E12" t="s">
        <v>56</v>
      </c>
      <c r="F12" t="s">
        <v>65</v>
      </c>
      <c r="G12">
        <v>24</v>
      </c>
      <c r="H12" t="s">
        <v>70</v>
      </c>
      <c r="I12" t="s">
        <v>78</v>
      </c>
      <c r="J12" s="1">
        <v>43263</v>
      </c>
      <c r="K12" t="s">
        <v>85</v>
      </c>
    </row>
    <row r="13" spans="1:11" x14ac:dyDescent="0.25">
      <c r="A13">
        <v>11</v>
      </c>
      <c r="B13" t="s">
        <v>20</v>
      </c>
      <c r="C13" t="s">
        <v>40</v>
      </c>
      <c r="D13" t="s">
        <v>51</v>
      </c>
      <c r="E13" t="s">
        <v>56</v>
      </c>
      <c r="F13" t="s">
        <v>65</v>
      </c>
      <c r="G13">
        <v>25</v>
      </c>
      <c r="H13" t="s">
        <v>73</v>
      </c>
      <c r="I13" t="s">
        <v>78</v>
      </c>
      <c r="J13" s="1">
        <v>43422</v>
      </c>
      <c r="K13" t="s">
        <v>83</v>
      </c>
    </row>
    <row r="14" spans="1:11" x14ac:dyDescent="0.25">
      <c r="A14">
        <v>12</v>
      </c>
      <c r="B14" t="s">
        <v>21</v>
      </c>
      <c r="C14" t="s">
        <v>41</v>
      </c>
      <c r="D14" t="s">
        <v>51</v>
      </c>
      <c r="E14" t="s">
        <v>57</v>
      </c>
      <c r="F14" t="s">
        <v>65</v>
      </c>
      <c r="G14">
        <v>24</v>
      </c>
      <c r="H14" t="s">
        <v>74</v>
      </c>
      <c r="I14" t="s">
        <v>78</v>
      </c>
      <c r="J14" s="1">
        <v>43447</v>
      </c>
      <c r="K14" t="s">
        <v>87</v>
      </c>
    </row>
    <row r="15" spans="1:11" x14ac:dyDescent="0.25">
      <c r="A15">
        <v>13</v>
      </c>
      <c r="B15" t="s">
        <v>22</v>
      </c>
      <c r="C15" t="s">
        <v>42</v>
      </c>
      <c r="D15" t="s">
        <v>51</v>
      </c>
      <c r="E15" t="s">
        <v>57</v>
      </c>
      <c r="F15" t="s">
        <v>65</v>
      </c>
      <c r="G15">
        <v>25</v>
      </c>
      <c r="H15" t="s">
        <v>71</v>
      </c>
      <c r="I15" t="s">
        <v>80</v>
      </c>
      <c r="J15" s="1">
        <v>43162</v>
      </c>
      <c r="K15" t="s">
        <v>85</v>
      </c>
    </row>
    <row r="16" spans="1:11" x14ac:dyDescent="0.25">
      <c r="A16">
        <v>14</v>
      </c>
      <c r="B16" t="s">
        <v>23</v>
      </c>
      <c r="C16" t="s">
        <v>43</v>
      </c>
      <c r="D16" t="s">
        <v>51</v>
      </c>
      <c r="E16" t="s">
        <v>58</v>
      </c>
      <c r="F16" t="s">
        <v>63</v>
      </c>
      <c r="G16">
        <v>28</v>
      </c>
      <c r="H16" t="s">
        <v>75</v>
      </c>
      <c r="I16" t="s">
        <v>80</v>
      </c>
      <c r="J16" s="1">
        <v>43315</v>
      </c>
      <c r="K16" t="s">
        <v>85</v>
      </c>
    </row>
    <row r="17" spans="1:11" x14ac:dyDescent="0.25">
      <c r="A17">
        <v>15</v>
      </c>
      <c r="B17" t="s">
        <v>24</v>
      </c>
      <c r="C17" t="s">
        <v>44</v>
      </c>
      <c r="D17" t="s">
        <v>52</v>
      </c>
      <c r="E17" t="s">
        <v>59</v>
      </c>
      <c r="F17" t="s">
        <v>65</v>
      </c>
      <c r="G17">
        <v>26</v>
      </c>
      <c r="H17" t="s">
        <v>75</v>
      </c>
      <c r="I17" t="s">
        <v>78</v>
      </c>
      <c r="J17" s="1">
        <v>43362</v>
      </c>
      <c r="K17" t="s">
        <v>85</v>
      </c>
    </row>
    <row r="18" spans="1:11" x14ac:dyDescent="0.25">
      <c r="A18">
        <v>16</v>
      </c>
      <c r="B18" t="s">
        <v>25</v>
      </c>
      <c r="C18" t="s">
        <v>45</v>
      </c>
      <c r="D18" t="s">
        <v>52</v>
      </c>
      <c r="E18" t="s">
        <v>59</v>
      </c>
      <c r="F18" t="s">
        <v>65</v>
      </c>
      <c r="G18">
        <v>25</v>
      </c>
      <c r="H18" t="s">
        <v>67</v>
      </c>
      <c r="I18" t="s">
        <v>78</v>
      </c>
      <c r="J18" s="1">
        <v>43341</v>
      </c>
      <c r="K18" t="s">
        <v>83</v>
      </c>
    </row>
    <row r="19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6"/>
      <c r="K19" s="4"/>
    </row>
    <row r="20" spans="1:11" x14ac:dyDescent="0.25">
      <c r="A20">
        <v>17</v>
      </c>
      <c r="B20" t="s">
        <v>26</v>
      </c>
      <c r="C20" t="s">
        <v>46</v>
      </c>
      <c r="D20" t="s">
        <v>52</v>
      </c>
      <c r="E20" t="s">
        <v>60</v>
      </c>
      <c r="F20" t="s">
        <v>63</v>
      </c>
      <c r="G20">
        <v>28</v>
      </c>
      <c r="H20" t="s">
        <v>73</v>
      </c>
      <c r="I20" t="s">
        <v>80</v>
      </c>
      <c r="J20" s="1">
        <v>43231</v>
      </c>
      <c r="K20" t="s">
        <v>85</v>
      </c>
    </row>
    <row r="21" spans="1:11" x14ac:dyDescent="0.25">
      <c r="A21">
        <v>18</v>
      </c>
      <c r="B21" t="s">
        <v>27</v>
      </c>
      <c r="C21" t="s">
        <v>47</v>
      </c>
      <c r="D21" t="s">
        <v>52</v>
      </c>
      <c r="E21" t="s">
        <v>60</v>
      </c>
      <c r="F21" t="s">
        <v>65</v>
      </c>
      <c r="G21">
        <v>25</v>
      </c>
      <c r="H21" t="s">
        <v>76</v>
      </c>
      <c r="I21" t="s">
        <v>78</v>
      </c>
      <c r="J21" s="1">
        <v>43290</v>
      </c>
      <c r="K21" t="s">
        <v>87</v>
      </c>
    </row>
    <row r="22" spans="1:11" x14ac:dyDescent="0.25">
      <c r="A22">
        <v>19</v>
      </c>
      <c r="B22" t="s">
        <v>28</v>
      </c>
      <c r="C22" t="s">
        <v>48</v>
      </c>
      <c r="D22" t="s">
        <v>53</v>
      </c>
      <c r="E22" t="s">
        <v>61</v>
      </c>
      <c r="F22" t="s">
        <v>65</v>
      </c>
      <c r="G22">
        <v>32</v>
      </c>
      <c r="H22" t="s">
        <v>77</v>
      </c>
      <c r="I22" t="s">
        <v>80</v>
      </c>
      <c r="J22" s="1">
        <v>43344</v>
      </c>
      <c r="K22" t="s">
        <v>83</v>
      </c>
    </row>
    <row r="23" spans="1:11" x14ac:dyDescent="0.25">
      <c r="A23">
        <v>20</v>
      </c>
      <c r="B23" t="s">
        <v>29</v>
      </c>
      <c r="C23" t="s">
        <v>49</v>
      </c>
      <c r="D23" t="s">
        <v>53</v>
      </c>
      <c r="E23" t="s">
        <v>62</v>
      </c>
      <c r="F23" t="s">
        <v>65</v>
      </c>
      <c r="G23">
        <v>28</v>
      </c>
      <c r="H23" t="s">
        <v>67</v>
      </c>
      <c r="I23" t="s">
        <v>78</v>
      </c>
      <c r="J23" s="1">
        <v>43252</v>
      </c>
      <c r="K23" t="s">
        <v>85</v>
      </c>
    </row>
  </sheetData>
  <phoneticPr fontId="1" type="noConversion"/>
  <dataValidations count="1">
    <dataValidation type="list" allowBlank="1" showInputMessage="1" showErrorMessage="1" sqref="K2:K23 F2:F23 I2:I23" xr:uid="{00000000-0002-0000-0600-000000000000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5"/>
  <sheetViews>
    <sheetView topLeftCell="B4" zoomScale="130" zoomScaleNormal="130" workbookViewId="0">
      <selection activeCell="N10" sqref="N10"/>
    </sheetView>
  </sheetViews>
  <sheetFormatPr defaultRowHeight="14.4" x14ac:dyDescent="0.25"/>
  <cols>
    <col min="7" max="7" width="8.88671875" customWidth="1"/>
    <col min="10" max="10" width="9.44140625" bestFit="1" customWidth="1"/>
    <col min="11" max="11" width="13.44140625" customWidth="1"/>
    <col min="12" max="12" width="15" style="2" customWidth="1"/>
  </cols>
  <sheetData>
    <row r="1" spans="1:13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82</v>
      </c>
      <c r="L1" s="2" t="s">
        <v>92</v>
      </c>
    </row>
    <row r="2" spans="1:13" x14ac:dyDescent="0.25">
      <c r="A2">
        <v>1</v>
      </c>
      <c r="B2" t="s">
        <v>10</v>
      </c>
      <c r="C2" t="s">
        <v>30</v>
      </c>
      <c r="D2" t="s">
        <v>50</v>
      </c>
      <c r="E2" t="s">
        <v>54</v>
      </c>
      <c r="F2" t="s">
        <v>63</v>
      </c>
      <c r="G2">
        <v>32</v>
      </c>
      <c r="H2" t="s">
        <v>67</v>
      </c>
      <c r="I2" t="s">
        <v>78</v>
      </c>
      <c r="J2" s="1">
        <v>43180</v>
      </c>
      <c r="K2" t="s">
        <v>83</v>
      </c>
      <c r="L2" s="10" t="s">
        <v>93</v>
      </c>
    </row>
    <row r="3" spans="1:13" x14ac:dyDescent="0.25">
      <c r="A3">
        <v>2</v>
      </c>
      <c r="B3" t="s">
        <v>11</v>
      </c>
      <c r="C3" t="s">
        <v>31</v>
      </c>
      <c r="D3" t="s">
        <v>50</v>
      </c>
      <c r="E3" t="s">
        <v>54</v>
      </c>
      <c r="F3" t="s">
        <v>63</v>
      </c>
      <c r="G3">
        <v>30</v>
      </c>
      <c r="H3" t="s">
        <v>68</v>
      </c>
      <c r="I3" t="s">
        <v>80</v>
      </c>
      <c r="J3" s="1">
        <v>43214</v>
      </c>
      <c r="K3" t="s">
        <v>83</v>
      </c>
      <c r="L3" s="10" t="s">
        <v>93</v>
      </c>
      <c r="M3" s="2"/>
    </row>
    <row r="4" spans="1:13" x14ac:dyDescent="0.25">
      <c r="A4">
        <v>3</v>
      </c>
      <c r="B4" t="s">
        <v>12</v>
      </c>
      <c r="C4" t="s">
        <v>32</v>
      </c>
      <c r="D4" t="s">
        <v>50</v>
      </c>
      <c r="E4" t="s">
        <v>54</v>
      </c>
      <c r="F4" t="s">
        <v>65</v>
      </c>
      <c r="G4">
        <v>27</v>
      </c>
      <c r="H4" t="s">
        <v>69</v>
      </c>
      <c r="I4" t="s">
        <v>78</v>
      </c>
      <c r="J4" s="1">
        <v>43113</v>
      </c>
      <c r="K4" t="s">
        <v>85</v>
      </c>
      <c r="L4" s="9" t="s">
        <v>93</v>
      </c>
    </row>
    <row r="5" spans="1:13" x14ac:dyDescent="0.25">
      <c r="A5">
        <v>4</v>
      </c>
      <c r="B5" t="s">
        <v>13</v>
      </c>
      <c r="C5" t="s">
        <v>33</v>
      </c>
      <c r="D5" t="s">
        <v>50</v>
      </c>
      <c r="E5" t="s">
        <v>54</v>
      </c>
      <c r="F5" t="s">
        <v>65</v>
      </c>
      <c r="G5">
        <v>26</v>
      </c>
      <c r="H5" t="s">
        <v>70</v>
      </c>
      <c r="I5" t="s">
        <v>78</v>
      </c>
      <c r="J5" s="1">
        <v>43263</v>
      </c>
      <c r="K5" t="s">
        <v>83</v>
      </c>
      <c r="L5" s="9" t="s">
        <v>93</v>
      </c>
    </row>
    <row r="6" spans="1:13" x14ac:dyDescent="0.25">
      <c r="A6">
        <v>5</v>
      </c>
      <c r="B6" t="s">
        <v>14</v>
      </c>
      <c r="C6" t="s">
        <v>34</v>
      </c>
      <c r="D6" t="s">
        <v>50</v>
      </c>
      <c r="E6" t="s">
        <v>54</v>
      </c>
      <c r="F6" t="s">
        <v>63</v>
      </c>
      <c r="G6">
        <v>30</v>
      </c>
      <c r="H6" t="s">
        <v>71</v>
      </c>
      <c r="I6" t="s">
        <v>78</v>
      </c>
      <c r="J6" s="1">
        <v>43342</v>
      </c>
      <c r="K6" t="s">
        <v>85</v>
      </c>
      <c r="L6" s="9">
        <v>4.4011219940830003E+17</v>
      </c>
    </row>
    <row r="7" spans="1:13" x14ac:dyDescent="0.25">
      <c r="A7">
        <v>6</v>
      </c>
      <c r="B7" t="s">
        <v>15</v>
      </c>
      <c r="C7" t="s">
        <v>35</v>
      </c>
      <c r="D7" t="s">
        <v>50</v>
      </c>
      <c r="E7" t="s">
        <v>54</v>
      </c>
      <c r="F7" t="s">
        <v>63</v>
      </c>
      <c r="G7">
        <v>29</v>
      </c>
      <c r="H7" t="s">
        <v>72</v>
      </c>
      <c r="I7" t="s">
        <v>78</v>
      </c>
      <c r="J7" s="1">
        <v>43455</v>
      </c>
      <c r="K7" t="s">
        <v>83</v>
      </c>
      <c r="L7" s="9">
        <v>4.4011219940830003E+17</v>
      </c>
    </row>
    <row r="8" spans="1:13" x14ac:dyDescent="0.25">
      <c r="A8">
        <v>7</v>
      </c>
      <c r="B8" t="s">
        <v>16</v>
      </c>
      <c r="C8" t="s">
        <v>36</v>
      </c>
      <c r="D8" t="s">
        <v>50</v>
      </c>
      <c r="E8" t="s">
        <v>55</v>
      </c>
      <c r="F8" t="s">
        <v>65</v>
      </c>
      <c r="G8">
        <v>28</v>
      </c>
      <c r="H8" t="s">
        <v>67</v>
      </c>
      <c r="I8" t="s">
        <v>80</v>
      </c>
      <c r="J8" s="1">
        <v>43385</v>
      </c>
      <c r="K8" t="s">
        <v>85</v>
      </c>
      <c r="L8" s="9">
        <v>4.4011219940830003E+17</v>
      </c>
    </row>
    <row r="9" spans="1:13" x14ac:dyDescent="0.25">
      <c r="A9">
        <v>8</v>
      </c>
      <c r="B9" t="s">
        <v>17</v>
      </c>
      <c r="C9" t="s">
        <v>37</v>
      </c>
      <c r="D9" t="s">
        <v>50</v>
      </c>
      <c r="E9" t="s">
        <v>55</v>
      </c>
      <c r="F9" t="s">
        <v>63</v>
      </c>
      <c r="G9">
        <v>33</v>
      </c>
      <c r="H9" t="s">
        <v>68</v>
      </c>
      <c r="I9" t="s">
        <v>78</v>
      </c>
      <c r="J9" s="1">
        <v>43274</v>
      </c>
      <c r="K9" t="s">
        <v>83</v>
      </c>
      <c r="L9" s="9">
        <v>4.4011219940830003E+17</v>
      </c>
    </row>
    <row r="10" spans="1:13" x14ac:dyDescent="0.25">
      <c r="A10">
        <v>9</v>
      </c>
      <c r="B10" t="s">
        <v>18</v>
      </c>
      <c r="C10" t="s">
        <v>38</v>
      </c>
      <c r="D10" t="s">
        <v>51</v>
      </c>
      <c r="E10" t="s">
        <v>56</v>
      </c>
      <c r="F10" t="s">
        <v>63</v>
      </c>
      <c r="G10">
        <v>27</v>
      </c>
      <c r="H10" t="s">
        <v>68</v>
      </c>
      <c r="I10" t="s">
        <v>78</v>
      </c>
      <c r="J10" s="1">
        <v>43232</v>
      </c>
      <c r="K10" t="s">
        <v>85</v>
      </c>
      <c r="L10" s="9">
        <v>4.4011219940830003E+17</v>
      </c>
    </row>
    <row r="11" spans="1:13" x14ac:dyDescent="0.25">
      <c r="A11">
        <v>10</v>
      </c>
      <c r="B11" t="s">
        <v>19</v>
      </c>
      <c r="C11" t="s">
        <v>39</v>
      </c>
      <c r="D11" t="s">
        <v>51</v>
      </c>
      <c r="E11" t="s">
        <v>56</v>
      </c>
      <c r="F11" t="s">
        <v>65</v>
      </c>
      <c r="G11">
        <v>24</v>
      </c>
      <c r="H11" t="s">
        <v>70</v>
      </c>
      <c r="I11" t="s">
        <v>78</v>
      </c>
      <c r="J11" s="1">
        <v>43263</v>
      </c>
      <c r="K11" t="s">
        <v>85</v>
      </c>
      <c r="L11" s="9">
        <v>4.4011219940830003E+17</v>
      </c>
    </row>
    <row r="12" spans="1:13" x14ac:dyDescent="0.25">
      <c r="A12">
        <v>11</v>
      </c>
      <c r="B12" t="s">
        <v>20</v>
      </c>
      <c r="C12" t="s">
        <v>40</v>
      </c>
      <c r="D12" t="s">
        <v>51</v>
      </c>
      <c r="E12" t="s">
        <v>56</v>
      </c>
      <c r="F12" t="s">
        <v>65</v>
      </c>
      <c r="G12">
        <v>25</v>
      </c>
      <c r="H12" t="s">
        <v>73</v>
      </c>
      <c r="I12" t="s">
        <v>78</v>
      </c>
      <c r="J12" s="1">
        <v>43422</v>
      </c>
      <c r="K12" t="s">
        <v>83</v>
      </c>
      <c r="L12" s="9">
        <v>4.4011219940830003E+17</v>
      </c>
    </row>
    <row r="13" spans="1:13" x14ac:dyDescent="0.25">
      <c r="A13">
        <v>12</v>
      </c>
      <c r="B13" t="s">
        <v>21</v>
      </c>
      <c r="C13" t="s">
        <v>41</v>
      </c>
      <c r="D13" t="s">
        <v>51</v>
      </c>
      <c r="E13" t="s">
        <v>57</v>
      </c>
      <c r="F13" t="s">
        <v>65</v>
      </c>
      <c r="G13">
        <v>24</v>
      </c>
      <c r="H13" t="s">
        <v>74</v>
      </c>
      <c r="I13" t="s">
        <v>78</v>
      </c>
      <c r="J13" s="1">
        <v>43447</v>
      </c>
      <c r="K13" t="s">
        <v>87</v>
      </c>
      <c r="L13" s="9">
        <v>4.4011219940830003E+17</v>
      </c>
    </row>
    <row r="14" spans="1:13" x14ac:dyDescent="0.25">
      <c r="A14">
        <v>13</v>
      </c>
      <c r="B14" t="s">
        <v>22</v>
      </c>
      <c r="C14" t="s">
        <v>42</v>
      </c>
      <c r="D14" t="s">
        <v>51</v>
      </c>
      <c r="E14" t="s">
        <v>57</v>
      </c>
      <c r="F14" t="s">
        <v>65</v>
      </c>
      <c r="G14">
        <v>25</v>
      </c>
      <c r="H14" t="s">
        <v>71</v>
      </c>
      <c r="I14" t="s">
        <v>80</v>
      </c>
      <c r="J14" s="1">
        <v>43162</v>
      </c>
      <c r="K14" t="s">
        <v>85</v>
      </c>
      <c r="L14" s="9">
        <v>4.4011219940830003E+17</v>
      </c>
    </row>
    <row r="15" spans="1:13" x14ac:dyDescent="0.25">
      <c r="A15">
        <v>14</v>
      </c>
      <c r="B15" t="s">
        <v>23</v>
      </c>
      <c r="C15" t="s">
        <v>43</v>
      </c>
      <c r="D15" t="s">
        <v>51</v>
      </c>
      <c r="E15" t="s">
        <v>58</v>
      </c>
      <c r="F15" t="s">
        <v>63</v>
      </c>
      <c r="G15">
        <v>28</v>
      </c>
      <c r="H15" t="s">
        <v>75</v>
      </c>
      <c r="I15" t="s">
        <v>80</v>
      </c>
      <c r="J15" s="1">
        <v>43315</v>
      </c>
      <c r="K15" t="s">
        <v>85</v>
      </c>
      <c r="L15" s="9">
        <v>4.4011219940830003E+17</v>
      </c>
    </row>
    <row r="16" spans="1:13" x14ac:dyDescent="0.25">
      <c r="A16">
        <v>15</v>
      </c>
      <c r="B16" t="s">
        <v>24</v>
      </c>
      <c r="C16" t="s">
        <v>44</v>
      </c>
      <c r="D16" t="s">
        <v>52</v>
      </c>
      <c r="E16" t="s">
        <v>59</v>
      </c>
      <c r="F16" t="s">
        <v>65</v>
      </c>
      <c r="G16">
        <v>26</v>
      </c>
      <c r="H16" t="s">
        <v>75</v>
      </c>
      <c r="I16" t="s">
        <v>78</v>
      </c>
      <c r="J16" s="1">
        <v>43362</v>
      </c>
      <c r="K16" t="s">
        <v>85</v>
      </c>
      <c r="L16" s="9">
        <v>4.4011219940830003E+17</v>
      </c>
    </row>
    <row r="17" spans="1:12" x14ac:dyDescent="0.25">
      <c r="A17">
        <v>16</v>
      </c>
      <c r="B17" t="s">
        <v>25</v>
      </c>
      <c r="C17" t="s">
        <v>45</v>
      </c>
      <c r="D17" t="s">
        <v>52</v>
      </c>
      <c r="E17" t="s">
        <v>59</v>
      </c>
      <c r="F17" t="s">
        <v>65</v>
      </c>
      <c r="G17">
        <v>25</v>
      </c>
      <c r="H17" t="s">
        <v>67</v>
      </c>
      <c r="I17" t="s">
        <v>78</v>
      </c>
      <c r="J17" s="1">
        <v>43341</v>
      </c>
      <c r="K17" t="s">
        <v>83</v>
      </c>
      <c r="L17" s="9">
        <v>4.4011219940830003E+17</v>
      </c>
    </row>
    <row r="18" spans="1:12" x14ac:dyDescent="0.25">
      <c r="A18">
        <v>17</v>
      </c>
      <c r="B18" t="s">
        <v>26</v>
      </c>
      <c r="C18" t="s">
        <v>46</v>
      </c>
      <c r="D18" t="s">
        <v>52</v>
      </c>
      <c r="E18" t="s">
        <v>60</v>
      </c>
      <c r="F18" t="s">
        <v>63</v>
      </c>
      <c r="G18">
        <v>28</v>
      </c>
      <c r="H18" t="s">
        <v>73</v>
      </c>
      <c r="I18" t="s">
        <v>80</v>
      </c>
      <c r="J18" s="1">
        <v>43231</v>
      </c>
      <c r="K18" t="s">
        <v>85</v>
      </c>
      <c r="L18" s="9">
        <v>4.4011219940830003E+17</v>
      </c>
    </row>
    <row r="19" spans="1:12" x14ac:dyDescent="0.25">
      <c r="A19">
        <v>18</v>
      </c>
      <c r="B19" t="s">
        <v>27</v>
      </c>
      <c r="C19" t="s">
        <v>47</v>
      </c>
      <c r="D19" t="s">
        <v>52</v>
      </c>
      <c r="E19" t="s">
        <v>60</v>
      </c>
      <c r="F19" t="s">
        <v>65</v>
      </c>
      <c r="G19">
        <v>25</v>
      </c>
      <c r="H19" t="s">
        <v>76</v>
      </c>
      <c r="I19" t="s">
        <v>78</v>
      </c>
      <c r="J19" s="1">
        <v>43290</v>
      </c>
      <c r="K19" t="s">
        <v>87</v>
      </c>
      <c r="L19" s="9">
        <v>4.4011219940830003E+17</v>
      </c>
    </row>
    <row r="20" spans="1:12" x14ac:dyDescent="0.25">
      <c r="A20">
        <v>19</v>
      </c>
      <c r="B20" t="s">
        <v>28</v>
      </c>
      <c r="C20" t="s">
        <v>48</v>
      </c>
      <c r="D20" t="s">
        <v>53</v>
      </c>
      <c r="E20" t="s">
        <v>61</v>
      </c>
      <c r="F20" t="s">
        <v>65</v>
      </c>
      <c r="G20">
        <v>32</v>
      </c>
      <c r="H20" t="s">
        <v>77</v>
      </c>
      <c r="I20" t="s">
        <v>80</v>
      </c>
      <c r="J20" s="1">
        <v>43344</v>
      </c>
      <c r="K20" t="s">
        <v>83</v>
      </c>
      <c r="L20" s="9">
        <v>4.4011219940830003E+17</v>
      </c>
    </row>
    <row r="21" spans="1:12" x14ac:dyDescent="0.25">
      <c r="A21">
        <v>20</v>
      </c>
      <c r="B21" t="s">
        <v>29</v>
      </c>
      <c r="C21" t="s">
        <v>49</v>
      </c>
      <c r="D21" t="s">
        <v>53</v>
      </c>
      <c r="E21" t="s">
        <v>62</v>
      </c>
      <c r="F21" t="s">
        <v>65</v>
      </c>
      <c r="G21">
        <v>28</v>
      </c>
      <c r="H21" t="s">
        <v>67</v>
      </c>
      <c r="I21" t="s">
        <v>78</v>
      </c>
      <c r="J21" s="1">
        <v>43252</v>
      </c>
      <c r="K21" t="s">
        <v>85</v>
      </c>
      <c r="L21" s="9">
        <v>4.4011219940830003E+17</v>
      </c>
    </row>
    <row r="43" spans="2:4" x14ac:dyDescent="0.25">
      <c r="B43" t="s">
        <v>64</v>
      </c>
      <c r="C43" t="s">
        <v>79</v>
      </c>
      <c r="D43" t="s">
        <v>84</v>
      </c>
    </row>
    <row r="44" spans="2:4" x14ac:dyDescent="0.25">
      <c r="B44" t="s">
        <v>66</v>
      </c>
      <c r="C44" t="s">
        <v>81</v>
      </c>
      <c r="D44" t="s">
        <v>86</v>
      </c>
    </row>
    <row r="45" spans="2:4" x14ac:dyDescent="0.25">
      <c r="D45" t="s">
        <v>88</v>
      </c>
    </row>
  </sheetData>
  <phoneticPr fontId="1" type="noConversion"/>
  <dataValidations count="3">
    <dataValidation type="list" allowBlank="1" showInputMessage="1" showErrorMessage="1" sqref="K2:K21" xr:uid="{00000000-0002-0000-0700-000000000000}">
      <formula1>$D$43:$D$45</formula1>
    </dataValidation>
    <dataValidation type="list" allowBlank="1" showInputMessage="1" showErrorMessage="1" sqref="I2:I21" xr:uid="{00000000-0002-0000-0700-000001000000}">
      <formula1>$C$43:$C$44</formula1>
    </dataValidation>
    <dataValidation type="list" allowBlank="1" showInputMessage="1" showErrorMessage="1" sqref="F2:F21" xr:uid="{00000000-0002-0000-0700-000002000000}">
      <formula1>$B$43:$B$44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通用格式表</vt:lpstr>
      <vt:lpstr>求平均值</vt:lpstr>
      <vt:lpstr>没有序号</vt:lpstr>
      <vt:lpstr>乱加表头</vt:lpstr>
      <vt:lpstr>乱用合计</vt:lpstr>
      <vt:lpstr>该有0就有0</vt:lpstr>
      <vt:lpstr>故意空行</vt:lpstr>
      <vt:lpstr>数字文本化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雅客</dc:creator>
  <cp:lastModifiedBy>世昌 邵</cp:lastModifiedBy>
  <dcterms:created xsi:type="dcterms:W3CDTF">2018-09-24T06:59:57Z</dcterms:created>
  <dcterms:modified xsi:type="dcterms:W3CDTF">2024-10-19T07:44:22Z</dcterms:modified>
</cp:coreProperties>
</file>