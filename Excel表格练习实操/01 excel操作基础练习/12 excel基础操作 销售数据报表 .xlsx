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1 excel操作基础练习\"/>
    </mc:Choice>
  </mc:AlternateContent>
  <xr:revisionPtr revIDLastSave="0" documentId="13_ncr:1_{FED7CBF6-A057-4B73-AC2D-9FBBCCAB3206}" xr6:coauthVersionLast="47" xr6:coauthVersionMax="47" xr10:uidLastSave="{00000000-0000-0000-0000-000000000000}"/>
  <bookViews>
    <workbookView xWindow="-108" yWindow="-108" windowWidth="23256" windowHeight="12456" xr2:uid="{BC527C06-9950-4B70-8CEB-B70B7D1413FF}"/>
  </bookViews>
  <sheets>
    <sheet name="Sheet1" sheetId="1" r:id="rId1"/>
    <sheet name="答案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" l="1"/>
  <c r="K3" i="1"/>
  <c r="L9" i="3"/>
  <c r="L12" i="3"/>
  <c r="L14" i="3"/>
  <c r="J21" i="3"/>
  <c r="J22" i="3"/>
  <c r="L22" i="3" s="1"/>
  <c r="J23" i="3"/>
  <c r="L23" i="3" s="1"/>
  <c r="J24" i="3"/>
  <c r="L24" i="3" s="1"/>
  <c r="J25" i="3"/>
  <c r="L25" i="3" s="1"/>
  <c r="J26" i="3"/>
  <c r="L26" i="3" s="1"/>
  <c r="J27" i="3"/>
  <c r="J28" i="3"/>
  <c r="L28" i="3" s="1"/>
  <c r="J29" i="3"/>
  <c r="L29" i="3" s="1"/>
  <c r="J30" i="3"/>
  <c r="L30" i="3" s="1"/>
  <c r="J31" i="3"/>
  <c r="L31" i="3" s="1"/>
  <c r="J32" i="3"/>
  <c r="J33" i="3"/>
  <c r="L33" i="3" s="1"/>
  <c r="J34" i="3"/>
  <c r="L34" i="3" s="1"/>
  <c r="J35" i="3"/>
  <c r="L35" i="3" s="1"/>
  <c r="J36" i="3"/>
  <c r="L36" i="3" s="1"/>
  <c r="J37" i="3"/>
  <c r="J38" i="3"/>
  <c r="L38" i="3" s="1"/>
  <c r="J39" i="3"/>
  <c r="L39" i="3" s="1"/>
  <c r="J40" i="3"/>
  <c r="L40" i="3" s="1"/>
  <c r="J11" i="3"/>
  <c r="J12" i="3"/>
  <c r="J13" i="3"/>
  <c r="L13" i="3" s="1"/>
  <c r="J14" i="3"/>
  <c r="J15" i="3"/>
  <c r="L15" i="3" s="1"/>
  <c r="J16" i="3"/>
  <c r="L16" i="3" s="1"/>
  <c r="J17" i="3"/>
  <c r="L17" i="3" s="1"/>
  <c r="J18" i="3"/>
  <c r="L18" i="3" s="1"/>
  <c r="J19" i="3"/>
  <c r="J20" i="3"/>
  <c r="L20" i="3" s="1"/>
  <c r="J4" i="3"/>
  <c r="L4" i="3" s="1"/>
  <c r="J5" i="3"/>
  <c r="L5" i="3" s="1"/>
  <c r="J6" i="3"/>
  <c r="J7" i="3"/>
  <c r="L7" i="3" s="1"/>
  <c r="J8" i="3"/>
  <c r="L8" i="3" s="1"/>
  <c r="J9" i="3"/>
  <c r="J10" i="3"/>
  <c r="L10" i="3" s="1"/>
  <c r="J3" i="3"/>
  <c r="K4" i="1"/>
  <c r="K5" i="1"/>
  <c r="K7" i="1"/>
  <c r="K8" i="1"/>
  <c r="K9" i="1"/>
  <c r="K10" i="1"/>
  <c r="K12" i="1"/>
  <c r="K13" i="1"/>
  <c r="K14" i="1"/>
  <c r="K15" i="1"/>
  <c r="K16" i="1"/>
  <c r="K17" i="1"/>
  <c r="K18" i="1"/>
  <c r="K20" i="1"/>
  <c r="K22" i="1"/>
  <c r="K23" i="1"/>
  <c r="K24" i="1"/>
  <c r="K25" i="1"/>
  <c r="K26" i="1"/>
  <c r="K28" i="1"/>
  <c r="K29" i="1"/>
  <c r="K30" i="1"/>
  <c r="K31" i="1"/>
  <c r="K33" i="1"/>
  <c r="K34" i="1"/>
  <c r="K35" i="1"/>
  <c r="K36" i="1"/>
  <c r="K38" i="1"/>
  <c r="K39" i="1"/>
  <c r="K40" i="1"/>
</calcChain>
</file>

<file path=xl/sharedStrings.xml><?xml version="1.0" encoding="utf-8"?>
<sst xmlns="http://schemas.openxmlformats.org/spreadsheetml/2006/main" count="283" uniqueCount="75">
  <si>
    <t>店铺</t>
    <phoneticPr fontId="1" type="noConversion"/>
  </si>
  <si>
    <t>成交时间</t>
    <phoneticPr fontId="1" type="noConversion"/>
  </si>
  <si>
    <t>价格</t>
    <phoneticPr fontId="1" type="noConversion"/>
  </si>
  <si>
    <t>销售金额</t>
    <phoneticPr fontId="1" type="noConversion"/>
  </si>
  <si>
    <t>产品名称</t>
    <phoneticPr fontId="1" type="noConversion"/>
  </si>
  <si>
    <t>入库时间</t>
    <phoneticPr fontId="1" type="noConversion"/>
  </si>
  <si>
    <t>规格型号</t>
    <phoneticPr fontId="1" type="noConversion"/>
  </si>
  <si>
    <t>销售数量</t>
    <phoneticPr fontId="1" type="noConversion"/>
  </si>
  <si>
    <t>库存数量</t>
    <phoneticPr fontId="1" type="noConversion"/>
  </si>
  <si>
    <t>7-ELEVEN</t>
    <phoneticPr fontId="1" type="noConversion"/>
  </si>
  <si>
    <t>广东广州天河区</t>
    <phoneticPr fontId="1" type="noConversion"/>
  </si>
  <si>
    <t>销售明细表</t>
    <phoneticPr fontId="1" type="noConversion"/>
  </si>
  <si>
    <t>广东广州荔湾区</t>
    <phoneticPr fontId="1" type="noConversion"/>
  </si>
  <si>
    <t>广东广州海珠区</t>
    <phoneticPr fontId="1" type="noConversion"/>
  </si>
  <si>
    <t>广东广州黄埔区</t>
    <phoneticPr fontId="1" type="noConversion"/>
  </si>
  <si>
    <t>喜士多</t>
    <phoneticPr fontId="1" type="noConversion"/>
  </si>
  <si>
    <t>广东广州越秀区</t>
    <phoneticPr fontId="1" type="noConversion"/>
  </si>
  <si>
    <t>广东广州萝岗区</t>
    <phoneticPr fontId="1" type="noConversion"/>
  </si>
  <si>
    <t>全家</t>
    <phoneticPr fontId="1" type="noConversion"/>
  </si>
  <si>
    <t>广东广州白云区</t>
    <phoneticPr fontId="1" type="noConversion"/>
  </si>
  <si>
    <t>广东东莞麻涌镇</t>
    <phoneticPr fontId="1" type="noConversion"/>
  </si>
  <si>
    <t>广东东莞虎门镇</t>
    <phoneticPr fontId="1" type="noConversion"/>
  </si>
  <si>
    <t>广东东莞厚街镇</t>
    <phoneticPr fontId="1" type="noConversion"/>
  </si>
  <si>
    <t>宝矿力</t>
    <phoneticPr fontId="1" type="noConversion"/>
  </si>
  <si>
    <t>BKL5275534</t>
    <phoneticPr fontId="1" type="noConversion"/>
  </si>
  <si>
    <t>BKL5275535</t>
  </si>
  <si>
    <t>BKL5275537</t>
  </si>
  <si>
    <t>BKL5275538</t>
  </si>
  <si>
    <t>益力多</t>
    <phoneticPr fontId="1" type="noConversion"/>
  </si>
  <si>
    <t>YLD12422508295</t>
    <phoneticPr fontId="1" type="noConversion"/>
  </si>
  <si>
    <t>YLD12422508296</t>
    <phoneticPr fontId="1" type="noConversion"/>
  </si>
  <si>
    <t>YLD12422508297</t>
    <phoneticPr fontId="1" type="noConversion"/>
  </si>
  <si>
    <t>YLD12422508298</t>
    <phoneticPr fontId="1" type="noConversion"/>
  </si>
  <si>
    <t>YLD12422508299</t>
    <phoneticPr fontId="1" type="noConversion"/>
  </si>
  <si>
    <t>阿萨姆奶茶</t>
    <phoneticPr fontId="1" type="noConversion"/>
  </si>
  <si>
    <t>SM967962</t>
    <phoneticPr fontId="1" type="noConversion"/>
  </si>
  <si>
    <t>SM967963</t>
  </si>
  <si>
    <t>SM967965</t>
  </si>
  <si>
    <t>SM967966</t>
  </si>
  <si>
    <t>菠萝啤</t>
    <phoneticPr fontId="1" type="noConversion"/>
  </si>
  <si>
    <t>BLP1730749</t>
    <phoneticPr fontId="1" type="noConversion"/>
  </si>
  <si>
    <t>BLP1730750</t>
  </si>
  <si>
    <t>BLP1730751</t>
  </si>
  <si>
    <t>BLP1730752</t>
  </si>
  <si>
    <t>BLP1730753</t>
  </si>
  <si>
    <t>可口可乐</t>
    <phoneticPr fontId="1" type="noConversion"/>
  </si>
  <si>
    <t>COCO959718</t>
    <phoneticPr fontId="1" type="noConversion"/>
  </si>
  <si>
    <t>COCO959719</t>
  </si>
  <si>
    <t>COCO959720</t>
  </si>
  <si>
    <t>COCO959721</t>
  </si>
  <si>
    <t>COCO959722</t>
  </si>
  <si>
    <t>COCO959723</t>
  </si>
  <si>
    <t>Coca-Cola</t>
    <phoneticPr fontId="1" type="noConversion"/>
  </si>
  <si>
    <t>COCO959724</t>
  </si>
  <si>
    <t>COCO959725</t>
  </si>
  <si>
    <t>XB13733509655</t>
    <phoneticPr fontId="1" type="noConversion"/>
  </si>
  <si>
    <t>XB13733509656</t>
    <phoneticPr fontId="1" type="noConversion"/>
  </si>
  <si>
    <t>XB13733509657</t>
    <phoneticPr fontId="1" type="noConversion"/>
  </si>
  <si>
    <t>2018.4.21</t>
    <phoneticPr fontId="1" type="noConversion"/>
  </si>
  <si>
    <t>2018-9.4</t>
    <phoneticPr fontId="1" type="noConversion"/>
  </si>
  <si>
    <t>2018.8-15</t>
    <phoneticPr fontId="1" type="noConversion"/>
  </si>
  <si>
    <t>5元</t>
    <phoneticPr fontId="1" type="noConversion"/>
  </si>
  <si>
    <t>4元</t>
    <phoneticPr fontId="1" type="noConversion"/>
  </si>
  <si>
    <t xml:space="preserve"> 益力多</t>
    <phoneticPr fontId="1" type="noConversion"/>
  </si>
  <si>
    <t>益 力多</t>
    <phoneticPr fontId="1" type="noConversion"/>
  </si>
  <si>
    <t>阿萨姆 奶茶</t>
    <phoneticPr fontId="1" type="noConversion"/>
  </si>
  <si>
    <t>SM96 7964</t>
    <phoneticPr fontId="1" type="noConversion"/>
  </si>
  <si>
    <t>4 元</t>
    <phoneticPr fontId="1" type="noConversion"/>
  </si>
  <si>
    <t>BKL52 75536</t>
    <phoneticPr fontId="1" type="noConversion"/>
  </si>
  <si>
    <t>阿萨 姆奶茶</t>
    <phoneticPr fontId="1" type="noConversion"/>
  </si>
  <si>
    <t>成交单号</t>
    <phoneticPr fontId="1" type="noConversion"/>
  </si>
  <si>
    <t>省份       
          地区</t>
    <phoneticPr fontId="1" type="noConversion"/>
  </si>
  <si>
    <t>雪 碧</t>
    <phoneticPr fontId="1" type="noConversion"/>
  </si>
  <si>
    <t>4523452345234520000000</t>
    <phoneticPr fontId="1" type="noConversion"/>
  </si>
  <si>
    <t>辅助列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</si>
</sst>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/m/d;@"/>
    <numFmt numFmtId="179" formatCode="000000"/>
  </numFmts>
  <fonts count="6" x14ac:knownFonts="1">
    <font>
      <sz val="11"/>
      <color theme="1"/>
      <name val="黑体"/>
      <family val="2"/>
      <charset val="134"/>
    </font>
    <font>
      <sz val="9"/>
      <name val="黑体"/>
      <family val="2"/>
      <charset val="134"/>
    </font>
    <font>
      <sz val="28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sz val="10.5"/>
      <color theme="1"/>
      <name val="宋体"/>
      <family val="3"/>
      <charset val="134"/>
    </font>
    <font>
      <sz val="11"/>
      <color rgb="FFFF0000"/>
      <name val="黑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 diagonalUp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11" fontId="4" fillId="0" borderId="0" xfId="0" quotePrefix="1" applyNumberFormat="1" applyFont="1" applyAlignment="1">
      <alignment horizontal="justify" vertical="center"/>
    </xf>
    <xf numFmtId="176" fontId="0" fillId="0" borderId="0" xfId="0" applyNumberFormat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79" fontId="0" fillId="0" borderId="0" xfId="0" quotePrefix="1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5FE2-77FE-4C99-9647-4E60EDFF7DA9}">
  <dimension ref="A1:K49"/>
  <sheetViews>
    <sheetView tabSelected="1" zoomScale="70" zoomScaleNormal="70" workbookViewId="0">
      <selection activeCell="O14" sqref="O14"/>
    </sheetView>
  </sheetViews>
  <sheetFormatPr defaultRowHeight="14.4" x14ac:dyDescent="0.25"/>
  <cols>
    <col min="1" max="1" width="8.88671875" style="1"/>
    <col min="2" max="2" width="15.44140625" style="1" customWidth="1"/>
    <col min="3" max="3" width="12" style="1" customWidth="1"/>
    <col min="4" max="4" width="14.77734375" style="1" customWidth="1"/>
    <col min="5" max="5" width="10.77734375" style="1" customWidth="1"/>
    <col min="6" max="6" width="19.21875" style="1" customWidth="1"/>
    <col min="7" max="7" width="32.44140625" style="15" customWidth="1"/>
    <col min="8" max="16384" width="8.88671875" style="1"/>
  </cols>
  <sheetData>
    <row r="1" spans="1:11" s="1" customFormat="1" ht="36.6" x14ac:dyDescent="0.25">
      <c r="A1" s="13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1" customFormat="1" ht="31.2" customHeight="1" x14ac:dyDescent="0.25">
      <c r="A2" s="1" t="s">
        <v>0</v>
      </c>
      <c r="B2" s="14" t="s">
        <v>71</v>
      </c>
      <c r="C2" s="1" t="s">
        <v>4</v>
      </c>
      <c r="D2" s="1" t="s">
        <v>6</v>
      </c>
      <c r="E2" s="1" t="s">
        <v>5</v>
      </c>
      <c r="F2" s="1" t="s">
        <v>1</v>
      </c>
      <c r="G2" s="15" t="s">
        <v>70</v>
      </c>
      <c r="H2" s="1" t="s">
        <v>8</v>
      </c>
      <c r="I2" s="1" t="s">
        <v>2</v>
      </c>
      <c r="J2" s="1" t="s">
        <v>7</v>
      </c>
      <c r="K2" s="1" t="s">
        <v>3</v>
      </c>
    </row>
    <row r="3" spans="1:11" s="1" customFormat="1" x14ac:dyDescent="0.25">
      <c r="A3" s="12" t="s">
        <v>9</v>
      </c>
      <c r="B3" s="5" t="s">
        <v>10</v>
      </c>
      <c r="C3" s="1" t="s">
        <v>23</v>
      </c>
      <c r="D3" s="1" t="s">
        <v>24</v>
      </c>
      <c r="E3" s="1" t="s">
        <v>58</v>
      </c>
      <c r="F3" s="16">
        <v>43211.764722222222</v>
      </c>
      <c r="G3" s="17">
        <v>4.5234523452345198E+21</v>
      </c>
      <c r="H3" s="1">
        <v>28</v>
      </c>
      <c r="I3" s="1">
        <v>5</v>
      </c>
      <c r="J3" s="1">
        <v>3</v>
      </c>
      <c r="K3" s="1">
        <f>I3*J3</f>
        <v>15</v>
      </c>
    </row>
    <row r="4" spans="1:11" s="1" customFormat="1" x14ac:dyDescent="0.25">
      <c r="A4" s="12"/>
      <c r="B4" s="5" t="s">
        <v>12</v>
      </c>
      <c r="C4" s="1" t="s">
        <v>23</v>
      </c>
      <c r="D4" s="1" t="s">
        <v>25</v>
      </c>
      <c r="E4" s="1" t="s">
        <v>58</v>
      </c>
      <c r="F4" s="16">
        <v>43212.764722222222</v>
      </c>
      <c r="G4" s="15">
        <v>4.5234523452345198E+21</v>
      </c>
      <c r="H4" s="1">
        <v>28</v>
      </c>
      <c r="I4" s="1">
        <v>5</v>
      </c>
      <c r="J4" s="1">
        <v>2</v>
      </c>
      <c r="K4" s="1">
        <f>J46+I4</f>
        <v>5</v>
      </c>
    </row>
    <row r="5" spans="1:11" s="1" customFormat="1" x14ac:dyDescent="0.25">
      <c r="A5" s="12"/>
      <c r="B5" s="5" t="s">
        <v>13</v>
      </c>
      <c r="C5" s="1" t="s">
        <v>23</v>
      </c>
      <c r="D5" s="1" t="s">
        <v>68</v>
      </c>
      <c r="E5" s="1" t="s">
        <v>58</v>
      </c>
      <c r="F5" s="16">
        <v>43213.764722222222</v>
      </c>
      <c r="G5" s="15">
        <v>4.5234523452345198E+21</v>
      </c>
      <c r="H5" s="1">
        <v>28</v>
      </c>
      <c r="I5" s="1">
        <v>5</v>
      </c>
      <c r="J5" s="1">
        <v>1</v>
      </c>
      <c r="K5" s="1">
        <f>J47+I5</f>
        <v>5</v>
      </c>
    </row>
    <row r="6" spans="1:11" s="1" customFormat="1" x14ac:dyDescent="0.25">
      <c r="A6" s="12"/>
      <c r="B6" s="5"/>
      <c r="F6" s="16"/>
      <c r="G6" s="15"/>
    </row>
    <row r="7" spans="1:11" s="1" customFormat="1" x14ac:dyDescent="0.25">
      <c r="A7" s="12"/>
      <c r="B7" s="11" t="s">
        <v>14</v>
      </c>
      <c r="C7" s="1" t="s">
        <v>23</v>
      </c>
      <c r="D7" s="1" t="s">
        <v>26</v>
      </c>
      <c r="E7" s="1" t="s">
        <v>58</v>
      </c>
      <c r="F7" s="16">
        <v>43214.764722222222</v>
      </c>
      <c r="G7" s="15">
        <v>4.5234523452345198E+21</v>
      </c>
      <c r="H7" s="1">
        <v>28</v>
      </c>
      <c r="I7" s="1">
        <v>5</v>
      </c>
      <c r="J7" s="1">
        <v>1</v>
      </c>
      <c r="K7" s="1">
        <f>J48+I7</f>
        <v>5</v>
      </c>
    </row>
    <row r="8" spans="1:11" s="1" customFormat="1" x14ac:dyDescent="0.25">
      <c r="A8" s="12"/>
      <c r="B8" s="11"/>
      <c r="C8" s="1" t="s">
        <v>23</v>
      </c>
      <c r="D8" s="1" t="s">
        <v>27</v>
      </c>
      <c r="E8" s="1" t="s">
        <v>58</v>
      </c>
      <c r="F8" s="16">
        <v>43215.764722164349</v>
      </c>
      <c r="G8" s="15">
        <v>4.5234523452345198E+21</v>
      </c>
      <c r="H8" s="1">
        <v>28</v>
      </c>
      <c r="I8" s="1">
        <v>5</v>
      </c>
      <c r="J8" s="1">
        <v>1</v>
      </c>
      <c r="K8" s="1">
        <f>J49+I8</f>
        <v>5</v>
      </c>
    </row>
    <row r="9" spans="1:11" s="1" customFormat="1" x14ac:dyDescent="0.25">
      <c r="A9" s="12"/>
      <c r="B9" s="11"/>
      <c r="C9" s="1" t="s">
        <v>63</v>
      </c>
      <c r="D9" s="1" t="s">
        <v>29</v>
      </c>
      <c r="E9" s="1" t="s">
        <v>58</v>
      </c>
      <c r="F9" s="16">
        <v>43216.764722164349</v>
      </c>
      <c r="G9" s="15">
        <v>4.5234523452345198E+21</v>
      </c>
      <c r="H9" s="1">
        <v>28</v>
      </c>
      <c r="I9" s="1">
        <v>4</v>
      </c>
      <c r="J9" s="1">
        <v>6</v>
      </c>
      <c r="K9" s="1">
        <f>J50+I9</f>
        <v>4</v>
      </c>
    </row>
    <row r="10" spans="1:11" s="1" customFormat="1" x14ac:dyDescent="0.25">
      <c r="A10" s="12"/>
      <c r="B10" s="11"/>
      <c r="C10" s="1" t="s">
        <v>64</v>
      </c>
      <c r="D10" s="1" t="s">
        <v>30</v>
      </c>
      <c r="E10" s="1" t="s">
        <v>58</v>
      </c>
      <c r="F10" s="16">
        <v>43217.764722164349</v>
      </c>
      <c r="G10" s="15">
        <v>4.5234523452345198E+21</v>
      </c>
      <c r="H10" s="1">
        <v>28</v>
      </c>
      <c r="I10" s="1">
        <v>4</v>
      </c>
      <c r="J10" s="1">
        <v>6</v>
      </c>
      <c r="K10" s="1">
        <f>J51+I10</f>
        <v>4</v>
      </c>
    </row>
    <row r="11" spans="1:11" s="1" customFormat="1" x14ac:dyDescent="0.25">
      <c r="B11" s="5"/>
      <c r="F11" s="16"/>
      <c r="G11" s="15"/>
    </row>
    <row r="12" spans="1:11" s="1" customFormat="1" x14ac:dyDescent="0.25">
      <c r="A12" s="12" t="s">
        <v>15</v>
      </c>
      <c r="B12" s="11" t="s">
        <v>16</v>
      </c>
      <c r="C12" s="1" t="s">
        <v>28</v>
      </c>
      <c r="D12" s="1" t="s">
        <v>31</v>
      </c>
      <c r="E12" s="2">
        <v>43222</v>
      </c>
      <c r="F12" s="16">
        <v>43218.764722164349</v>
      </c>
      <c r="G12" s="15">
        <v>4.5234523452345198E+21</v>
      </c>
      <c r="H12" s="1">
        <v>28</v>
      </c>
      <c r="I12" s="1">
        <v>4</v>
      </c>
      <c r="J12" s="1">
        <v>6</v>
      </c>
      <c r="K12" s="1">
        <f t="shared" ref="K12:K18" si="0">J52+I12</f>
        <v>4</v>
      </c>
    </row>
    <row r="13" spans="1:11" s="1" customFormat="1" x14ac:dyDescent="0.25">
      <c r="A13" s="12"/>
      <c r="B13" s="11"/>
      <c r="C13" s="1" t="s">
        <v>28</v>
      </c>
      <c r="D13" s="1" t="s">
        <v>32</v>
      </c>
      <c r="E13" s="2">
        <v>43222</v>
      </c>
      <c r="F13" s="16">
        <v>43219.764722164349</v>
      </c>
      <c r="G13" s="15">
        <v>4.5234523452345198E+21</v>
      </c>
      <c r="H13" s="1">
        <v>28</v>
      </c>
      <c r="I13" s="1">
        <v>4</v>
      </c>
      <c r="J13" s="1">
        <v>6</v>
      </c>
      <c r="K13" s="1">
        <f t="shared" si="0"/>
        <v>4</v>
      </c>
    </row>
    <row r="14" spans="1:11" s="1" customFormat="1" x14ac:dyDescent="0.25">
      <c r="A14" s="12"/>
      <c r="B14" s="11"/>
      <c r="C14" s="1" t="s">
        <v>28</v>
      </c>
      <c r="D14" s="1" t="s">
        <v>33</v>
      </c>
      <c r="E14" s="2">
        <v>43222</v>
      </c>
      <c r="F14" s="16">
        <v>43220.764722164349</v>
      </c>
      <c r="G14" s="15">
        <v>4.5234523452345198E+21</v>
      </c>
      <c r="H14" s="1">
        <v>28</v>
      </c>
      <c r="I14" s="1">
        <v>4</v>
      </c>
      <c r="J14" s="1">
        <v>6</v>
      </c>
      <c r="K14" s="1">
        <f t="shared" si="0"/>
        <v>4</v>
      </c>
    </row>
    <row r="15" spans="1:11" s="1" customFormat="1" x14ac:dyDescent="0.25">
      <c r="A15" s="12"/>
      <c r="B15" s="11"/>
      <c r="C15" s="1" t="s">
        <v>34</v>
      </c>
      <c r="D15" s="1" t="s">
        <v>35</v>
      </c>
      <c r="E15" s="2">
        <v>43222</v>
      </c>
      <c r="F15" s="16">
        <v>43221.764722164349</v>
      </c>
      <c r="G15" s="15">
        <v>4.5234523452345198E+21</v>
      </c>
      <c r="H15" s="1">
        <v>28</v>
      </c>
      <c r="I15" s="1">
        <v>4</v>
      </c>
      <c r="J15" s="1">
        <v>3</v>
      </c>
      <c r="K15" s="1">
        <f t="shared" si="0"/>
        <v>4</v>
      </c>
    </row>
    <row r="16" spans="1:11" s="1" customFormat="1" x14ac:dyDescent="0.25">
      <c r="A16" s="12"/>
      <c r="B16" s="11"/>
      <c r="C16" s="1" t="s">
        <v>34</v>
      </c>
      <c r="D16" s="1" t="s">
        <v>36</v>
      </c>
      <c r="E16" s="2">
        <v>43222</v>
      </c>
      <c r="F16" s="16">
        <v>43222.764722164349</v>
      </c>
      <c r="G16" s="15">
        <v>4.5234523452345198E+21</v>
      </c>
      <c r="H16" s="1">
        <v>28</v>
      </c>
      <c r="I16" s="1">
        <v>4</v>
      </c>
      <c r="J16" s="1">
        <v>2</v>
      </c>
      <c r="K16" s="1">
        <f t="shared" si="0"/>
        <v>4</v>
      </c>
    </row>
    <row r="17" spans="1:11" s="1" customFormat="1" x14ac:dyDescent="0.25">
      <c r="A17" s="12"/>
      <c r="B17" s="11"/>
      <c r="C17" s="1" t="s">
        <v>65</v>
      </c>
      <c r="D17" s="1" t="s">
        <v>66</v>
      </c>
      <c r="E17" s="2">
        <v>43222</v>
      </c>
      <c r="F17" s="16">
        <v>43223.764722164349</v>
      </c>
      <c r="G17" s="15">
        <v>4.5234523452345198E+21</v>
      </c>
      <c r="H17" s="1">
        <v>46</v>
      </c>
      <c r="I17" s="1">
        <v>4</v>
      </c>
      <c r="J17" s="1">
        <v>2</v>
      </c>
      <c r="K17" s="1">
        <f t="shared" si="0"/>
        <v>4</v>
      </c>
    </row>
    <row r="18" spans="1:11" s="1" customFormat="1" x14ac:dyDescent="0.25">
      <c r="A18" s="12"/>
      <c r="B18" s="11"/>
      <c r="C18" s="1" t="s">
        <v>34</v>
      </c>
      <c r="D18" s="1" t="s">
        <v>37</v>
      </c>
      <c r="E18" s="2">
        <v>43222</v>
      </c>
      <c r="F18" s="16">
        <v>43224.764722164349</v>
      </c>
      <c r="G18" s="15">
        <v>4.5234523452345198E+21</v>
      </c>
      <c r="H18" s="1">
        <v>46</v>
      </c>
      <c r="I18" s="1">
        <v>4</v>
      </c>
      <c r="J18" s="1">
        <v>1</v>
      </c>
      <c r="K18" s="1">
        <f t="shared" si="0"/>
        <v>4</v>
      </c>
    </row>
    <row r="19" spans="1:11" s="1" customFormat="1" x14ac:dyDescent="0.25">
      <c r="A19" s="12"/>
      <c r="B19" s="5"/>
      <c r="E19" s="2"/>
      <c r="F19" s="16"/>
      <c r="G19" s="15"/>
    </row>
    <row r="20" spans="1:11" s="1" customFormat="1" x14ac:dyDescent="0.25">
      <c r="A20" s="12"/>
      <c r="B20" s="5" t="s">
        <v>17</v>
      </c>
      <c r="C20" s="1" t="s">
        <v>69</v>
      </c>
      <c r="D20" s="1" t="s">
        <v>38</v>
      </c>
      <c r="E20" s="1" t="s">
        <v>59</v>
      </c>
      <c r="F20" s="16">
        <v>43225.764722164349</v>
      </c>
      <c r="G20" s="15">
        <v>4.5234523452345198E+21</v>
      </c>
      <c r="H20" s="1">
        <v>46</v>
      </c>
      <c r="I20" s="1">
        <v>4</v>
      </c>
      <c r="J20" s="1">
        <v>1</v>
      </c>
      <c r="K20" s="1">
        <f>J59+I20</f>
        <v>4</v>
      </c>
    </row>
    <row r="21" spans="1:11" s="1" customFormat="1" x14ac:dyDescent="0.25">
      <c r="B21" s="5"/>
      <c r="F21" s="16"/>
      <c r="G21" s="15"/>
    </row>
    <row r="22" spans="1:11" s="1" customFormat="1" x14ac:dyDescent="0.25">
      <c r="A22" s="12" t="s">
        <v>18</v>
      </c>
      <c r="B22" s="11" t="s">
        <v>19</v>
      </c>
      <c r="C22" s="1" t="s">
        <v>39</v>
      </c>
      <c r="D22" s="1" t="s">
        <v>40</v>
      </c>
      <c r="E22" s="1" t="s">
        <v>59</v>
      </c>
      <c r="F22" s="16">
        <v>43226.764722164349</v>
      </c>
      <c r="G22" s="15">
        <v>4.5234523452345198E+21</v>
      </c>
      <c r="H22" s="1">
        <v>46</v>
      </c>
      <c r="I22" s="1">
        <v>5</v>
      </c>
      <c r="J22" s="1">
        <v>1</v>
      </c>
      <c r="K22" s="1">
        <f>J60+I22</f>
        <v>5</v>
      </c>
    </row>
    <row r="23" spans="1:11" s="1" customFormat="1" x14ac:dyDescent="0.25">
      <c r="A23" s="12"/>
      <c r="B23" s="11"/>
      <c r="C23" s="1" t="s">
        <v>39</v>
      </c>
      <c r="D23" s="1" t="s">
        <v>41</v>
      </c>
      <c r="E23" s="1" t="s">
        <v>59</v>
      </c>
      <c r="F23" s="16">
        <v>43227.764722164349</v>
      </c>
      <c r="G23" s="15">
        <v>4.5234523452345198E+21</v>
      </c>
      <c r="H23" s="1">
        <v>46</v>
      </c>
      <c r="I23" s="1">
        <v>5</v>
      </c>
      <c r="J23" s="1">
        <v>1</v>
      </c>
      <c r="K23" s="1">
        <f>J61+I23</f>
        <v>5</v>
      </c>
    </row>
    <row r="24" spans="1:11" s="1" customFormat="1" x14ac:dyDescent="0.25">
      <c r="A24" s="12"/>
      <c r="B24" s="11"/>
      <c r="C24" s="1" t="s">
        <v>39</v>
      </c>
      <c r="D24" s="1" t="s">
        <v>42</v>
      </c>
      <c r="E24" s="1" t="s">
        <v>59</v>
      </c>
      <c r="F24" s="16">
        <v>43228.764722164349</v>
      </c>
      <c r="G24" s="15">
        <v>4.5234523452345198E+21</v>
      </c>
      <c r="H24" s="1">
        <v>46</v>
      </c>
      <c r="I24" s="1">
        <v>5</v>
      </c>
      <c r="J24" s="1">
        <v>1</v>
      </c>
      <c r="K24" s="1">
        <f>J62+I24</f>
        <v>5</v>
      </c>
    </row>
    <row r="25" spans="1:11" s="1" customFormat="1" x14ac:dyDescent="0.25">
      <c r="A25" s="12"/>
      <c r="B25" s="11"/>
      <c r="C25" s="1" t="s">
        <v>39</v>
      </c>
      <c r="D25" s="1" t="s">
        <v>43</v>
      </c>
      <c r="E25" s="1" t="s">
        <v>59</v>
      </c>
      <c r="F25" s="16">
        <v>43229.764722164349</v>
      </c>
      <c r="G25" s="15">
        <v>4.5234523452345198E+21</v>
      </c>
      <c r="H25" s="1">
        <v>46</v>
      </c>
      <c r="I25" s="1">
        <v>5</v>
      </c>
      <c r="J25" s="1">
        <v>3</v>
      </c>
      <c r="K25" s="1">
        <f>J63+I25</f>
        <v>5</v>
      </c>
    </row>
    <row r="26" spans="1:11" s="1" customFormat="1" x14ac:dyDescent="0.25">
      <c r="A26" s="12"/>
      <c r="B26" s="11"/>
      <c r="C26" s="1" t="s">
        <v>39</v>
      </c>
      <c r="D26" s="1" t="s">
        <v>44</v>
      </c>
      <c r="E26" s="1" t="s">
        <v>59</v>
      </c>
      <c r="F26" s="16">
        <v>43230.764722164349</v>
      </c>
      <c r="G26" s="15">
        <v>4.5234523452345198E+21</v>
      </c>
      <c r="H26" s="1">
        <v>46</v>
      </c>
      <c r="I26" s="1">
        <v>5</v>
      </c>
      <c r="J26" s="1">
        <v>1</v>
      </c>
      <c r="K26" s="1">
        <f>J64+I26</f>
        <v>5</v>
      </c>
    </row>
    <row r="27" spans="1:11" s="1" customFormat="1" x14ac:dyDescent="0.25">
      <c r="A27" s="12"/>
      <c r="B27" s="5"/>
      <c r="F27" s="16"/>
      <c r="G27" s="15"/>
    </row>
    <row r="28" spans="1:11" s="1" customFormat="1" x14ac:dyDescent="0.25">
      <c r="A28" s="12"/>
      <c r="B28" s="11" t="s">
        <v>20</v>
      </c>
      <c r="C28" s="1" t="s">
        <v>45</v>
      </c>
      <c r="D28" s="1" t="s">
        <v>46</v>
      </c>
      <c r="E28" s="1" t="s">
        <v>59</v>
      </c>
      <c r="F28" s="16">
        <v>43231.764722164349</v>
      </c>
      <c r="G28" s="15">
        <v>4.5234523452345198E+21</v>
      </c>
      <c r="H28" s="1">
        <v>46</v>
      </c>
      <c r="I28" s="1">
        <v>4</v>
      </c>
      <c r="J28" s="1">
        <v>1</v>
      </c>
      <c r="K28" s="1">
        <f>J65+I28</f>
        <v>4</v>
      </c>
    </row>
    <row r="29" spans="1:11" s="1" customFormat="1" x14ac:dyDescent="0.25">
      <c r="A29" s="12"/>
      <c r="B29" s="11"/>
      <c r="C29" s="1" t="s">
        <v>45</v>
      </c>
      <c r="D29" s="1" t="s">
        <v>47</v>
      </c>
      <c r="E29" s="1" t="s">
        <v>60</v>
      </c>
      <c r="F29" s="16">
        <v>43232.764722164349</v>
      </c>
      <c r="G29" s="15">
        <v>4.5234523452345198E+21</v>
      </c>
      <c r="H29" s="1">
        <v>27</v>
      </c>
      <c r="I29" s="1">
        <v>4</v>
      </c>
      <c r="J29" s="1">
        <v>1</v>
      </c>
      <c r="K29" s="1">
        <f>J66+I29</f>
        <v>4</v>
      </c>
    </row>
    <row r="30" spans="1:11" s="1" customFormat="1" x14ac:dyDescent="0.25">
      <c r="A30" s="12"/>
      <c r="B30" s="11"/>
      <c r="C30" s="1" t="s">
        <v>45</v>
      </c>
      <c r="D30" s="1" t="s">
        <v>48</v>
      </c>
      <c r="E30" s="1" t="s">
        <v>60</v>
      </c>
      <c r="F30" s="16">
        <v>43233.764722164349</v>
      </c>
      <c r="G30" s="15">
        <v>4.5234523452345198E+21</v>
      </c>
      <c r="H30" s="1">
        <v>27</v>
      </c>
      <c r="I30" s="1">
        <v>4</v>
      </c>
      <c r="J30" s="1">
        <v>4</v>
      </c>
      <c r="K30" s="1">
        <f>J67+I30</f>
        <v>4</v>
      </c>
    </row>
    <row r="31" spans="1:11" s="1" customFormat="1" x14ac:dyDescent="0.25">
      <c r="A31" s="12"/>
      <c r="B31" s="11"/>
      <c r="C31" s="1" t="s">
        <v>45</v>
      </c>
      <c r="D31" s="1" t="s">
        <v>49</v>
      </c>
      <c r="E31" s="1" t="s">
        <v>60</v>
      </c>
      <c r="F31" s="16">
        <v>43234.764722164349</v>
      </c>
      <c r="G31" s="15">
        <v>4.5234523452345198E+21</v>
      </c>
      <c r="H31" s="1">
        <v>27</v>
      </c>
      <c r="I31" s="1">
        <v>4</v>
      </c>
      <c r="J31" s="1">
        <v>2</v>
      </c>
      <c r="K31" s="1">
        <f>J68+I31</f>
        <v>4</v>
      </c>
    </row>
    <row r="32" spans="1:11" s="1" customFormat="1" x14ac:dyDescent="0.25">
      <c r="A32" s="12"/>
      <c r="B32" s="5"/>
      <c r="F32" s="16"/>
      <c r="G32" s="15"/>
    </row>
    <row r="33" spans="1:11" s="1" customFormat="1" x14ac:dyDescent="0.25">
      <c r="A33" s="12"/>
      <c r="B33" s="11" t="s">
        <v>21</v>
      </c>
      <c r="C33" s="1" t="s">
        <v>52</v>
      </c>
      <c r="D33" s="1" t="s">
        <v>50</v>
      </c>
      <c r="E33" s="1" t="s">
        <v>60</v>
      </c>
      <c r="F33" s="16">
        <v>43235.764722164349</v>
      </c>
      <c r="G33" s="15">
        <v>4.5234523452345198E+21</v>
      </c>
      <c r="H33" s="1">
        <v>27</v>
      </c>
      <c r="I33" s="1">
        <v>4</v>
      </c>
      <c r="J33" s="1">
        <v>3</v>
      </c>
      <c r="K33" s="1">
        <f>J69+I33</f>
        <v>4</v>
      </c>
    </row>
    <row r="34" spans="1:11" s="1" customFormat="1" x14ac:dyDescent="0.25">
      <c r="A34" s="12"/>
      <c r="B34" s="11"/>
      <c r="C34" s="1" t="s">
        <v>52</v>
      </c>
      <c r="D34" s="1" t="s">
        <v>51</v>
      </c>
      <c r="E34" s="1" t="s">
        <v>60</v>
      </c>
      <c r="F34" s="16">
        <v>43236.764722164349</v>
      </c>
      <c r="G34" s="15">
        <v>4.5234523452345198E+21</v>
      </c>
      <c r="H34" s="1">
        <v>27</v>
      </c>
      <c r="I34" s="1">
        <v>4</v>
      </c>
      <c r="J34" s="1">
        <v>2</v>
      </c>
      <c r="K34" s="1">
        <f>J70+I34</f>
        <v>4</v>
      </c>
    </row>
    <row r="35" spans="1:11" s="1" customFormat="1" x14ac:dyDescent="0.25">
      <c r="A35" s="12"/>
      <c r="B35" s="11"/>
      <c r="C35" s="1" t="s">
        <v>52</v>
      </c>
      <c r="D35" s="1" t="s">
        <v>53</v>
      </c>
      <c r="E35" s="1" t="s">
        <v>60</v>
      </c>
      <c r="F35" s="16">
        <v>43237.764722164349</v>
      </c>
      <c r="G35" s="15">
        <v>4.5234523452345198E+21</v>
      </c>
      <c r="H35" s="1">
        <v>27</v>
      </c>
      <c r="I35" s="1">
        <v>4</v>
      </c>
      <c r="J35" s="1">
        <v>3</v>
      </c>
      <c r="K35" s="1">
        <f>J71+I35</f>
        <v>4</v>
      </c>
    </row>
    <row r="36" spans="1:11" s="1" customFormat="1" x14ac:dyDescent="0.25">
      <c r="A36" s="12"/>
      <c r="B36" s="11"/>
      <c r="C36" s="1" t="s">
        <v>52</v>
      </c>
      <c r="D36" s="1" t="s">
        <v>54</v>
      </c>
      <c r="E36" s="1" t="s">
        <v>60</v>
      </c>
      <c r="F36" s="16">
        <v>43238.764722164349</v>
      </c>
      <c r="G36" s="15">
        <v>4.5234523452345198E+21</v>
      </c>
      <c r="H36" s="1">
        <v>27</v>
      </c>
      <c r="I36" s="1">
        <v>4</v>
      </c>
      <c r="J36" s="1">
        <v>1</v>
      </c>
      <c r="K36" s="1">
        <f>J72+I36</f>
        <v>4</v>
      </c>
    </row>
    <row r="37" spans="1:11" s="1" customFormat="1" x14ac:dyDescent="0.25">
      <c r="A37" s="12"/>
      <c r="B37" s="5"/>
      <c r="F37" s="16"/>
      <c r="G37" s="15"/>
    </row>
    <row r="38" spans="1:11" s="1" customFormat="1" x14ac:dyDescent="0.25">
      <c r="A38" s="12"/>
      <c r="B38" s="11" t="s">
        <v>22</v>
      </c>
      <c r="C38" s="1" t="s">
        <v>72</v>
      </c>
      <c r="D38" s="1" t="s">
        <v>55</v>
      </c>
      <c r="E38" s="1" t="s">
        <v>60</v>
      </c>
      <c r="F38" s="16">
        <v>43239.764722164349</v>
      </c>
      <c r="G38" s="15">
        <v>4.5234523452345198E+21</v>
      </c>
      <c r="H38" s="1">
        <v>27</v>
      </c>
      <c r="I38" s="1">
        <v>4</v>
      </c>
      <c r="J38" s="1">
        <v>4</v>
      </c>
      <c r="K38" s="1">
        <f t="shared" ref="K38:K40" si="1">J73+I38</f>
        <v>4</v>
      </c>
    </row>
    <row r="39" spans="1:11" s="1" customFormat="1" x14ac:dyDescent="0.25">
      <c r="A39" s="12"/>
      <c r="B39" s="11"/>
      <c r="C39" s="1" t="s">
        <v>72</v>
      </c>
      <c r="D39" s="1" t="s">
        <v>56</v>
      </c>
      <c r="E39" s="1" t="s">
        <v>60</v>
      </c>
      <c r="F39" s="16">
        <v>43240.764722164349</v>
      </c>
      <c r="G39" s="15">
        <v>4.5234523452345198E+21</v>
      </c>
      <c r="H39" s="1">
        <v>14</v>
      </c>
      <c r="I39" s="1">
        <v>4</v>
      </c>
      <c r="J39" s="1">
        <v>1</v>
      </c>
      <c r="K39" s="1">
        <f t="shared" si="1"/>
        <v>4</v>
      </c>
    </row>
    <row r="40" spans="1:11" s="1" customFormat="1" x14ac:dyDescent="0.25">
      <c r="A40" s="12"/>
      <c r="B40" s="11"/>
      <c r="C40" s="1" t="s">
        <v>72</v>
      </c>
      <c r="D40" s="1" t="s">
        <v>57</v>
      </c>
      <c r="E40" s="2">
        <v>43104</v>
      </c>
      <c r="F40" s="16">
        <v>43241.764722164349</v>
      </c>
      <c r="G40" s="15">
        <v>4.5234523452345198E+21</v>
      </c>
      <c r="H40" s="1">
        <v>14</v>
      </c>
      <c r="I40" s="1">
        <v>4</v>
      </c>
      <c r="J40" s="1">
        <v>2</v>
      </c>
      <c r="K40" s="1">
        <f t="shared" si="1"/>
        <v>4</v>
      </c>
    </row>
    <row r="41" spans="1:11" s="1" customFormat="1" x14ac:dyDescent="0.25">
      <c r="B41" s="5"/>
      <c r="G41" s="15"/>
    </row>
    <row r="42" spans="1:11" s="1" customFormat="1" x14ac:dyDescent="0.25">
      <c r="B42" s="5"/>
      <c r="G42" s="15"/>
    </row>
    <row r="43" spans="1:11" s="1" customFormat="1" x14ac:dyDescent="0.25">
      <c r="B43" s="5"/>
      <c r="G43" s="15"/>
    </row>
    <row r="44" spans="1:11" s="1" customFormat="1" x14ac:dyDescent="0.25">
      <c r="B44" s="5"/>
      <c r="G44" s="15"/>
    </row>
    <row r="45" spans="1:11" s="1" customFormat="1" x14ac:dyDescent="0.25">
      <c r="B45" s="5"/>
      <c r="G45" s="15"/>
    </row>
    <row r="46" spans="1:11" s="1" customFormat="1" x14ac:dyDescent="0.25">
      <c r="B46" s="5"/>
      <c r="G46" s="15"/>
    </row>
    <row r="47" spans="1:11" s="1" customFormat="1" x14ac:dyDescent="0.25">
      <c r="B47" s="5"/>
      <c r="G47" s="15"/>
    </row>
    <row r="48" spans="1:11" s="1" customFormat="1" x14ac:dyDescent="0.25">
      <c r="B48" s="5"/>
      <c r="G48" s="15"/>
    </row>
    <row r="49" spans="2:7" s="1" customFormat="1" x14ac:dyDescent="0.25">
      <c r="B49" s="5"/>
      <c r="G49" s="15"/>
    </row>
  </sheetData>
  <mergeCells count="10">
    <mergeCell ref="A1:K1"/>
    <mergeCell ref="A3:A10"/>
    <mergeCell ref="B7:B10"/>
    <mergeCell ref="A12:A20"/>
    <mergeCell ref="B12:B18"/>
    <mergeCell ref="B22:B26"/>
    <mergeCell ref="B28:B31"/>
    <mergeCell ref="A22:A40"/>
    <mergeCell ref="B33:B36"/>
    <mergeCell ref="B38:B40"/>
  </mergeCells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46CE-BC94-46A0-91A7-2C366C893DC4}">
  <dimension ref="A1:L49"/>
  <sheetViews>
    <sheetView zoomScale="55" zoomScaleNormal="55" workbookViewId="0">
      <selection activeCell="G5" sqref="G5"/>
    </sheetView>
  </sheetViews>
  <sheetFormatPr defaultRowHeight="14.4" x14ac:dyDescent="0.25"/>
  <cols>
    <col min="2" max="2" width="15.44140625" customWidth="1"/>
    <col min="3" max="3" width="12" customWidth="1"/>
    <col min="4" max="4" width="14.77734375" customWidth="1"/>
    <col min="5" max="5" width="10.77734375" style="1" customWidth="1"/>
    <col min="6" max="6" width="19.21875" customWidth="1"/>
    <col min="7" max="7" width="21.88671875" style="7" bestFit="1" customWidth="1"/>
  </cols>
  <sheetData>
    <row r="1" spans="1:12" ht="36.6" x14ac:dyDescent="0.25">
      <c r="A1" s="13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1.2" customHeight="1" x14ac:dyDescent="0.25">
      <c r="A2" t="s">
        <v>0</v>
      </c>
      <c r="B2" s="3" t="s">
        <v>71</v>
      </c>
      <c r="C2" t="s">
        <v>4</v>
      </c>
      <c r="D2" t="s">
        <v>6</v>
      </c>
      <c r="E2" s="1" t="s">
        <v>5</v>
      </c>
      <c r="F2" t="s">
        <v>1</v>
      </c>
      <c r="G2" s="7" t="s">
        <v>70</v>
      </c>
      <c r="H2" t="s">
        <v>8</v>
      </c>
      <c r="I2" t="s">
        <v>2</v>
      </c>
      <c r="J2" s="10" t="s">
        <v>74</v>
      </c>
      <c r="K2" t="s">
        <v>7</v>
      </c>
      <c r="L2" t="s">
        <v>3</v>
      </c>
    </row>
    <row r="3" spans="1:12" ht="28.8" x14ac:dyDescent="0.25">
      <c r="A3" s="12" t="s">
        <v>9</v>
      </c>
      <c r="B3" s="4" t="s">
        <v>10</v>
      </c>
      <c r="C3" t="s">
        <v>23</v>
      </c>
      <c r="D3" t="s">
        <v>24</v>
      </c>
      <c r="E3" s="9" t="s">
        <v>58</v>
      </c>
      <c r="F3" s="6">
        <v>43211.764722222222</v>
      </c>
      <c r="G3" s="8" t="s">
        <v>73</v>
      </c>
      <c r="H3">
        <v>28</v>
      </c>
      <c r="I3" t="s">
        <v>61</v>
      </c>
      <c r="J3" t="str">
        <f>LEFT(I3,1)</f>
        <v>5</v>
      </c>
      <c r="K3">
        <v>3</v>
      </c>
      <c r="L3">
        <f>J3*K3</f>
        <v>15</v>
      </c>
    </row>
    <row r="4" spans="1:12" ht="28.8" x14ac:dyDescent="0.25">
      <c r="A4" s="12"/>
      <c r="B4" s="4" t="s">
        <v>12</v>
      </c>
      <c r="C4" t="s">
        <v>23</v>
      </c>
      <c r="D4" t="s">
        <v>25</v>
      </c>
      <c r="E4" s="2" t="s">
        <v>58</v>
      </c>
      <c r="F4" s="6">
        <v>43212.764722222222</v>
      </c>
      <c r="G4" s="8" t="s">
        <v>73</v>
      </c>
      <c r="H4">
        <v>28</v>
      </c>
      <c r="I4" t="s">
        <v>61</v>
      </c>
      <c r="J4" t="str">
        <f t="shared" ref="J4:J40" si="0">LEFT(I4,1)</f>
        <v>5</v>
      </c>
      <c r="K4">
        <v>2</v>
      </c>
      <c r="L4">
        <f t="shared" ref="L4:L40" si="1">J4*K4</f>
        <v>10</v>
      </c>
    </row>
    <row r="5" spans="1:12" ht="28.8" x14ac:dyDescent="0.25">
      <c r="A5" s="12"/>
      <c r="B5" s="4" t="s">
        <v>13</v>
      </c>
      <c r="C5" t="s">
        <v>23</v>
      </c>
      <c r="D5" t="s">
        <v>68</v>
      </c>
      <c r="E5" s="2" t="s">
        <v>58</v>
      </c>
      <c r="F5" s="6">
        <v>43213.764722222222</v>
      </c>
      <c r="G5" s="8" t="s">
        <v>73</v>
      </c>
      <c r="H5">
        <v>28</v>
      </c>
      <c r="I5" t="s">
        <v>61</v>
      </c>
      <c r="J5" t="str">
        <f t="shared" si="0"/>
        <v>5</v>
      </c>
      <c r="K5">
        <v>1</v>
      </c>
      <c r="L5">
        <f t="shared" si="1"/>
        <v>5</v>
      </c>
    </row>
    <row r="6" spans="1:12" x14ac:dyDescent="0.25">
      <c r="A6" s="12"/>
      <c r="B6" s="4"/>
      <c r="E6" s="2"/>
      <c r="F6" s="6"/>
      <c r="G6" s="8"/>
      <c r="J6" t="str">
        <f t="shared" si="0"/>
        <v/>
      </c>
    </row>
    <row r="7" spans="1:12" ht="28.8" x14ac:dyDescent="0.25">
      <c r="A7" s="12"/>
      <c r="B7" s="11" t="s">
        <v>14</v>
      </c>
      <c r="C7" t="s">
        <v>23</v>
      </c>
      <c r="D7" t="s">
        <v>26</v>
      </c>
      <c r="E7" s="2" t="s">
        <v>58</v>
      </c>
      <c r="F7" s="6">
        <v>43214.764722222222</v>
      </c>
      <c r="G7" s="8" t="s">
        <v>73</v>
      </c>
      <c r="H7">
        <v>28</v>
      </c>
      <c r="I7" t="s">
        <v>61</v>
      </c>
      <c r="J7" t="str">
        <f t="shared" si="0"/>
        <v>5</v>
      </c>
      <c r="K7">
        <v>1</v>
      </c>
      <c r="L7">
        <f t="shared" si="1"/>
        <v>5</v>
      </c>
    </row>
    <row r="8" spans="1:12" ht="28.8" x14ac:dyDescent="0.25">
      <c r="A8" s="12"/>
      <c r="B8" s="11"/>
      <c r="C8" t="s">
        <v>23</v>
      </c>
      <c r="D8" t="s">
        <v>27</v>
      </c>
      <c r="E8" s="2" t="s">
        <v>58</v>
      </c>
      <c r="F8" s="6">
        <v>43215.764722164349</v>
      </c>
      <c r="G8" s="8" t="s">
        <v>73</v>
      </c>
      <c r="H8">
        <v>28</v>
      </c>
      <c r="I8" t="s">
        <v>61</v>
      </c>
      <c r="J8" t="str">
        <f t="shared" si="0"/>
        <v>5</v>
      </c>
      <c r="K8">
        <v>1</v>
      </c>
      <c r="L8">
        <f t="shared" si="1"/>
        <v>5</v>
      </c>
    </row>
    <row r="9" spans="1:12" ht="28.8" x14ac:dyDescent="0.25">
      <c r="A9" s="12"/>
      <c r="B9" s="11"/>
      <c r="C9" t="s">
        <v>63</v>
      </c>
      <c r="D9" t="s">
        <v>29</v>
      </c>
      <c r="E9" s="2" t="s">
        <v>58</v>
      </c>
      <c r="F9" s="6">
        <v>43216.764722164349</v>
      </c>
      <c r="G9" s="8" t="s">
        <v>73</v>
      </c>
      <c r="H9">
        <v>28</v>
      </c>
      <c r="I9" t="s">
        <v>62</v>
      </c>
      <c r="J9" t="str">
        <f t="shared" si="0"/>
        <v>4</v>
      </c>
      <c r="K9">
        <v>6</v>
      </c>
      <c r="L9">
        <f t="shared" si="1"/>
        <v>24</v>
      </c>
    </row>
    <row r="10" spans="1:12" ht="28.8" x14ac:dyDescent="0.25">
      <c r="A10" s="12"/>
      <c r="B10" s="11"/>
      <c r="C10" t="s">
        <v>64</v>
      </c>
      <c r="D10" t="s">
        <v>30</v>
      </c>
      <c r="E10" s="2" t="s">
        <v>58</v>
      </c>
      <c r="F10" s="6">
        <v>43217.764722164349</v>
      </c>
      <c r="G10" s="8" t="s">
        <v>73</v>
      </c>
      <c r="H10">
        <v>28</v>
      </c>
      <c r="I10" t="s">
        <v>67</v>
      </c>
      <c r="J10" t="str">
        <f t="shared" si="0"/>
        <v>4</v>
      </c>
      <c r="K10">
        <v>6</v>
      </c>
      <c r="L10">
        <f t="shared" si="1"/>
        <v>24</v>
      </c>
    </row>
    <row r="11" spans="1:12" x14ac:dyDescent="0.25">
      <c r="A11" s="1"/>
      <c r="B11" s="5"/>
      <c r="E11" s="2"/>
      <c r="F11" s="6"/>
      <c r="G11" s="8"/>
      <c r="J11" t="str">
        <f t="shared" si="0"/>
        <v/>
      </c>
    </row>
    <row r="12" spans="1:12" ht="28.8" x14ac:dyDescent="0.25">
      <c r="A12" s="12" t="s">
        <v>15</v>
      </c>
      <c r="B12" s="11" t="s">
        <v>16</v>
      </c>
      <c r="C12" t="s">
        <v>28</v>
      </c>
      <c r="D12" t="s">
        <v>31</v>
      </c>
      <c r="E12" s="2">
        <v>43222</v>
      </c>
      <c r="F12" s="6">
        <v>43218.764722164349</v>
      </c>
      <c r="G12" s="8" t="s">
        <v>73</v>
      </c>
      <c r="H12">
        <v>28</v>
      </c>
      <c r="I12" t="s">
        <v>62</v>
      </c>
      <c r="J12" t="str">
        <f t="shared" si="0"/>
        <v>4</v>
      </c>
      <c r="K12">
        <v>6</v>
      </c>
      <c r="L12">
        <f t="shared" si="1"/>
        <v>24</v>
      </c>
    </row>
    <row r="13" spans="1:12" ht="28.8" x14ac:dyDescent="0.25">
      <c r="A13" s="12"/>
      <c r="B13" s="11"/>
      <c r="C13" t="s">
        <v>28</v>
      </c>
      <c r="D13" t="s">
        <v>32</v>
      </c>
      <c r="E13" s="2">
        <v>43222</v>
      </c>
      <c r="F13" s="6">
        <v>43219.764722164349</v>
      </c>
      <c r="G13" s="8" t="s">
        <v>73</v>
      </c>
      <c r="H13">
        <v>28</v>
      </c>
      <c r="I13" t="s">
        <v>62</v>
      </c>
      <c r="J13" t="str">
        <f t="shared" si="0"/>
        <v>4</v>
      </c>
      <c r="K13">
        <v>6</v>
      </c>
      <c r="L13">
        <f t="shared" si="1"/>
        <v>24</v>
      </c>
    </row>
    <row r="14" spans="1:12" ht="28.8" x14ac:dyDescent="0.25">
      <c r="A14" s="12"/>
      <c r="B14" s="11"/>
      <c r="C14" t="s">
        <v>28</v>
      </c>
      <c r="D14" t="s">
        <v>33</v>
      </c>
      <c r="E14" s="2">
        <v>43222</v>
      </c>
      <c r="F14" s="6">
        <v>43220.764722164349</v>
      </c>
      <c r="G14" s="8" t="s">
        <v>73</v>
      </c>
      <c r="H14">
        <v>28</v>
      </c>
      <c r="I14" t="s">
        <v>62</v>
      </c>
      <c r="J14" t="str">
        <f t="shared" si="0"/>
        <v>4</v>
      </c>
      <c r="K14">
        <v>6</v>
      </c>
      <c r="L14">
        <f t="shared" si="1"/>
        <v>24</v>
      </c>
    </row>
    <row r="15" spans="1:12" ht="28.8" x14ac:dyDescent="0.25">
      <c r="A15" s="12"/>
      <c r="B15" s="11"/>
      <c r="C15" t="s">
        <v>34</v>
      </c>
      <c r="D15" t="s">
        <v>35</v>
      </c>
      <c r="E15" s="2">
        <v>43222</v>
      </c>
      <c r="F15" s="6">
        <v>43221.764722164349</v>
      </c>
      <c r="G15" s="8" t="s">
        <v>73</v>
      </c>
      <c r="H15">
        <v>28</v>
      </c>
      <c r="I15" t="s">
        <v>62</v>
      </c>
      <c r="J15" t="str">
        <f t="shared" si="0"/>
        <v>4</v>
      </c>
      <c r="K15">
        <v>3</v>
      </c>
      <c r="L15">
        <f t="shared" si="1"/>
        <v>12</v>
      </c>
    </row>
    <row r="16" spans="1:12" ht="28.8" x14ac:dyDescent="0.25">
      <c r="A16" s="12"/>
      <c r="B16" s="11"/>
      <c r="C16" t="s">
        <v>34</v>
      </c>
      <c r="D16" t="s">
        <v>36</v>
      </c>
      <c r="E16" s="2">
        <v>43222</v>
      </c>
      <c r="F16" s="6">
        <v>43222.764722164349</v>
      </c>
      <c r="G16" s="8" t="s">
        <v>73</v>
      </c>
      <c r="H16">
        <v>28</v>
      </c>
      <c r="I16" t="s">
        <v>62</v>
      </c>
      <c r="J16" t="str">
        <f t="shared" si="0"/>
        <v>4</v>
      </c>
      <c r="K16">
        <v>2</v>
      </c>
      <c r="L16">
        <f t="shared" si="1"/>
        <v>8</v>
      </c>
    </row>
    <row r="17" spans="1:12" ht="28.8" x14ac:dyDescent="0.25">
      <c r="A17" s="12"/>
      <c r="B17" s="11"/>
      <c r="C17" t="s">
        <v>65</v>
      </c>
      <c r="D17" t="s">
        <v>66</v>
      </c>
      <c r="E17" s="2">
        <v>43222</v>
      </c>
      <c r="F17" s="6">
        <v>43223.764722164349</v>
      </c>
      <c r="G17" s="8" t="s">
        <v>73</v>
      </c>
      <c r="H17">
        <v>46</v>
      </c>
      <c r="I17" t="s">
        <v>62</v>
      </c>
      <c r="J17" t="str">
        <f t="shared" si="0"/>
        <v>4</v>
      </c>
      <c r="K17">
        <v>2</v>
      </c>
      <c r="L17">
        <f t="shared" si="1"/>
        <v>8</v>
      </c>
    </row>
    <row r="18" spans="1:12" ht="28.8" x14ac:dyDescent="0.25">
      <c r="A18" s="12"/>
      <c r="B18" s="11"/>
      <c r="C18" t="s">
        <v>34</v>
      </c>
      <c r="D18" t="s">
        <v>37</v>
      </c>
      <c r="E18" s="2">
        <v>43222</v>
      </c>
      <c r="F18" s="6">
        <v>43224.764722164349</v>
      </c>
      <c r="G18" s="8" t="s">
        <v>73</v>
      </c>
      <c r="H18">
        <v>46</v>
      </c>
      <c r="I18" t="s">
        <v>62</v>
      </c>
      <c r="J18" t="str">
        <f t="shared" si="0"/>
        <v>4</v>
      </c>
      <c r="K18">
        <v>1</v>
      </c>
      <c r="L18">
        <f t="shared" si="1"/>
        <v>4</v>
      </c>
    </row>
    <row r="19" spans="1:12" x14ac:dyDescent="0.25">
      <c r="A19" s="12"/>
      <c r="B19" s="5"/>
      <c r="E19" s="2"/>
      <c r="F19" s="6"/>
      <c r="G19" s="8"/>
      <c r="J19" t="str">
        <f t="shared" si="0"/>
        <v/>
      </c>
    </row>
    <row r="20" spans="1:12" ht="28.8" x14ac:dyDescent="0.25">
      <c r="A20" s="12"/>
      <c r="B20" s="4" t="s">
        <v>17</v>
      </c>
      <c r="C20" t="s">
        <v>69</v>
      </c>
      <c r="D20" t="s">
        <v>38</v>
      </c>
      <c r="E20" s="2" t="s">
        <v>59</v>
      </c>
      <c r="F20" s="6">
        <v>43225.764722164349</v>
      </c>
      <c r="G20" s="8" t="s">
        <v>73</v>
      </c>
      <c r="H20">
        <v>46</v>
      </c>
      <c r="I20" t="s">
        <v>67</v>
      </c>
      <c r="J20" t="str">
        <f t="shared" si="0"/>
        <v>4</v>
      </c>
      <c r="K20">
        <v>1</v>
      </c>
      <c r="L20">
        <f t="shared" si="1"/>
        <v>4</v>
      </c>
    </row>
    <row r="21" spans="1:12" x14ac:dyDescent="0.25">
      <c r="A21" s="1"/>
      <c r="B21" s="4"/>
      <c r="E21" s="2"/>
      <c r="F21" s="6"/>
      <c r="G21" s="8"/>
      <c r="J21" t="str">
        <f t="shared" si="0"/>
        <v/>
      </c>
    </row>
    <row r="22" spans="1:12" ht="28.8" x14ac:dyDescent="0.25">
      <c r="A22" s="12" t="s">
        <v>18</v>
      </c>
      <c r="B22" s="11" t="s">
        <v>19</v>
      </c>
      <c r="C22" t="s">
        <v>39</v>
      </c>
      <c r="D22" t="s">
        <v>40</v>
      </c>
      <c r="E22" s="2" t="s">
        <v>59</v>
      </c>
      <c r="F22" s="6">
        <v>43226.764722164349</v>
      </c>
      <c r="G22" s="8" t="s">
        <v>73</v>
      </c>
      <c r="H22">
        <v>46</v>
      </c>
      <c r="I22" t="s">
        <v>61</v>
      </c>
      <c r="J22" t="str">
        <f t="shared" si="0"/>
        <v>5</v>
      </c>
      <c r="K22">
        <v>1</v>
      </c>
      <c r="L22">
        <f t="shared" si="1"/>
        <v>5</v>
      </c>
    </row>
    <row r="23" spans="1:12" ht="28.8" x14ac:dyDescent="0.25">
      <c r="A23" s="12"/>
      <c r="B23" s="11"/>
      <c r="C23" t="s">
        <v>39</v>
      </c>
      <c r="D23" t="s">
        <v>41</v>
      </c>
      <c r="E23" s="2" t="s">
        <v>59</v>
      </c>
      <c r="F23" s="6">
        <v>43227.764722164349</v>
      </c>
      <c r="G23" s="8" t="s">
        <v>73</v>
      </c>
      <c r="H23">
        <v>46</v>
      </c>
      <c r="I23" t="s">
        <v>61</v>
      </c>
      <c r="J23" t="str">
        <f t="shared" si="0"/>
        <v>5</v>
      </c>
      <c r="K23">
        <v>1</v>
      </c>
      <c r="L23">
        <f t="shared" si="1"/>
        <v>5</v>
      </c>
    </row>
    <row r="24" spans="1:12" ht="28.8" x14ac:dyDescent="0.25">
      <c r="A24" s="12"/>
      <c r="B24" s="11"/>
      <c r="C24" t="s">
        <v>39</v>
      </c>
      <c r="D24" t="s">
        <v>42</v>
      </c>
      <c r="E24" s="2" t="s">
        <v>59</v>
      </c>
      <c r="F24" s="6">
        <v>43228.764722164349</v>
      </c>
      <c r="G24" s="8" t="s">
        <v>73</v>
      </c>
      <c r="H24">
        <v>46</v>
      </c>
      <c r="I24" t="s">
        <v>61</v>
      </c>
      <c r="J24" t="str">
        <f t="shared" si="0"/>
        <v>5</v>
      </c>
      <c r="K24">
        <v>1</v>
      </c>
      <c r="L24">
        <f t="shared" si="1"/>
        <v>5</v>
      </c>
    </row>
    <row r="25" spans="1:12" ht="28.8" x14ac:dyDescent="0.25">
      <c r="A25" s="12"/>
      <c r="B25" s="11"/>
      <c r="C25" t="s">
        <v>39</v>
      </c>
      <c r="D25" t="s">
        <v>43</v>
      </c>
      <c r="E25" s="2" t="s">
        <v>59</v>
      </c>
      <c r="F25" s="6">
        <v>43229.764722164349</v>
      </c>
      <c r="G25" s="8" t="s">
        <v>73</v>
      </c>
      <c r="H25">
        <v>46</v>
      </c>
      <c r="I25" t="s">
        <v>61</v>
      </c>
      <c r="J25" t="str">
        <f t="shared" si="0"/>
        <v>5</v>
      </c>
      <c r="K25">
        <v>3</v>
      </c>
      <c r="L25">
        <f t="shared" si="1"/>
        <v>15</v>
      </c>
    </row>
    <row r="26" spans="1:12" ht="28.8" x14ac:dyDescent="0.25">
      <c r="A26" s="12"/>
      <c r="B26" s="11"/>
      <c r="C26" t="s">
        <v>39</v>
      </c>
      <c r="D26" t="s">
        <v>44</v>
      </c>
      <c r="E26" s="2" t="s">
        <v>59</v>
      </c>
      <c r="F26" s="6">
        <v>43230.764722164349</v>
      </c>
      <c r="G26" s="8" t="s">
        <v>73</v>
      </c>
      <c r="H26">
        <v>46</v>
      </c>
      <c r="I26" t="s">
        <v>61</v>
      </c>
      <c r="J26" t="str">
        <f t="shared" si="0"/>
        <v>5</v>
      </c>
      <c r="K26">
        <v>1</v>
      </c>
      <c r="L26">
        <f t="shared" si="1"/>
        <v>5</v>
      </c>
    </row>
    <row r="27" spans="1:12" x14ac:dyDescent="0.25">
      <c r="A27" s="12"/>
      <c r="B27" s="5"/>
      <c r="E27" s="2"/>
      <c r="F27" s="6"/>
      <c r="G27" s="8"/>
      <c r="J27" t="str">
        <f t="shared" si="0"/>
        <v/>
      </c>
    </row>
    <row r="28" spans="1:12" ht="28.8" x14ac:dyDescent="0.25">
      <c r="A28" s="12"/>
      <c r="B28" s="11" t="s">
        <v>20</v>
      </c>
      <c r="C28" t="s">
        <v>45</v>
      </c>
      <c r="D28" t="s">
        <v>46</v>
      </c>
      <c r="E28" s="2" t="s">
        <v>59</v>
      </c>
      <c r="F28" s="6">
        <v>43231.764722164349</v>
      </c>
      <c r="G28" s="8" t="s">
        <v>73</v>
      </c>
      <c r="H28">
        <v>46</v>
      </c>
      <c r="I28" t="s">
        <v>62</v>
      </c>
      <c r="J28" t="str">
        <f t="shared" si="0"/>
        <v>4</v>
      </c>
      <c r="K28">
        <v>1</v>
      </c>
      <c r="L28">
        <f t="shared" si="1"/>
        <v>4</v>
      </c>
    </row>
    <row r="29" spans="1:12" ht="28.8" x14ac:dyDescent="0.25">
      <c r="A29" s="12"/>
      <c r="B29" s="11"/>
      <c r="C29" t="s">
        <v>45</v>
      </c>
      <c r="D29" t="s">
        <v>47</v>
      </c>
      <c r="E29" s="2" t="s">
        <v>60</v>
      </c>
      <c r="F29" s="6">
        <v>43232.764722164349</v>
      </c>
      <c r="G29" s="8" t="s">
        <v>73</v>
      </c>
      <c r="H29">
        <v>27</v>
      </c>
      <c r="I29" t="s">
        <v>62</v>
      </c>
      <c r="J29" t="str">
        <f t="shared" si="0"/>
        <v>4</v>
      </c>
      <c r="K29">
        <v>1</v>
      </c>
      <c r="L29">
        <f t="shared" si="1"/>
        <v>4</v>
      </c>
    </row>
    <row r="30" spans="1:12" ht="28.8" x14ac:dyDescent="0.25">
      <c r="A30" s="12"/>
      <c r="B30" s="11"/>
      <c r="C30" t="s">
        <v>45</v>
      </c>
      <c r="D30" t="s">
        <v>48</v>
      </c>
      <c r="E30" s="2" t="s">
        <v>60</v>
      </c>
      <c r="F30" s="6">
        <v>43233.764722164349</v>
      </c>
      <c r="G30" s="8" t="s">
        <v>73</v>
      </c>
      <c r="H30">
        <v>27</v>
      </c>
      <c r="I30" t="s">
        <v>62</v>
      </c>
      <c r="J30" t="str">
        <f t="shared" si="0"/>
        <v>4</v>
      </c>
      <c r="K30">
        <v>4</v>
      </c>
      <c r="L30">
        <f t="shared" si="1"/>
        <v>16</v>
      </c>
    </row>
    <row r="31" spans="1:12" ht="28.8" x14ac:dyDescent="0.25">
      <c r="A31" s="12"/>
      <c r="B31" s="11"/>
      <c r="C31" t="s">
        <v>45</v>
      </c>
      <c r="D31" t="s">
        <v>49</v>
      </c>
      <c r="E31" s="2" t="s">
        <v>60</v>
      </c>
      <c r="F31" s="6">
        <v>43234.764722164349</v>
      </c>
      <c r="G31" s="8" t="s">
        <v>73</v>
      </c>
      <c r="H31">
        <v>27</v>
      </c>
      <c r="I31" t="s">
        <v>62</v>
      </c>
      <c r="J31" t="str">
        <f t="shared" si="0"/>
        <v>4</v>
      </c>
      <c r="K31">
        <v>2</v>
      </c>
      <c r="L31">
        <f t="shared" si="1"/>
        <v>8</v>
      </c>
    </row>
    <row r="32" spans="1:12" x14ac:dyDescent="0.25">
      <c r="A32" s="12"/>
      <c r="B32" s="5"/>
      <c r="E32" s="2"/>
      <c r="F32" s="6"/>
      <c r="G32" s="8"/>
      <c r="J32" t="str">
        <f t="shared" si="0"/>
        <v/>
      </c>
    </row>
    <row r="33" spans="1:12" ht="28.8" x14ac:dyDescent="0.25">
      <c r="A33" s="12"/>
      <c r="B33" s="11" t="s">
        <v>21</v>
      </c>
      <c r="C33" t="s">
        <v>52</v>
      </c>
      <c r="D33" t="s">
        <v>50</v>
      </c>
      <c r="E33" s="2" t="s">
        <v>60</v>
      </c>
      <c r="F33" s="6">
        <v>43235.764722164349</v>
      </c>
      <c r="G33" s="8" t="s">
        <v>73</v>
      </c>
      <c r="H33">
        <v>27</v>
      </c>
      <c r="I33" t="s">
        <v>62</v>
      </c>
      <c r="J33" t="str">
        <f t="shared" si="0"/>
        <v>4</v>
      </c>
      <c r="K33">
        <v>3</v>
      </c>
      <c r="L33">
        <f t="shared" si="1"/>
        <v>12</v>
      </c>
    </row>
    <row r="34" spans="1:12" ht="28.8" x14ac:dyDescent="0.25">
      <c r="A34" s="12"/>
      <c r="B34" s="11"/>
      <c r="C34" t="s">
        <v>52</v>
      </c>
      <c r="D34" t="s">
        <v>51</v>
      </c>
      <c r="E34" s="2" t="s">
        <v>60</v>
      </c>
      <c r="F34" s="6">
        <v>43236.764722164349</v>
      </c>
      <c r="G34" s="8" t="s">
        <v>73</v>
      </c>
      <c r="H34">
        <v>27</v>
      </c>
      <c r="I34" t="s">
        <v>62</v>
      </c>
      <c r="J34" t="str">
        <f t="shared" si="0"/>
        <v>4</v>
      </c>
      <c r="K34">
        <v>2</v>
      </c>
      <c r="L34">
        <f t="shared" si="1"/>
        <v>8</v>
      </c>
    </row>
    <row r="35" spans="1:12" ht="28.8" x14ac:dyDescent="0.25">
      <c r="A35" s="12"/>
      <c r="B35" s="11"/>
      <c r="C35" t="s">
        <v>52</v>
      </c>
      <c r="D35" t="s">
        <v>53</v>
      </c>
      <c r="E35" s="2" t="s">
        <v>60</v>
      </c>
      <c r="F35" s="6">
        <v>43237.764722164349</v>
      </c>
      <c r="G35" s="8" t="s">
        <v>73</v>
      </c>
      <c r="H35">
        <v>27</v>
      </c>
      <c r="I35" t="s">
        <v>67</v>
      </c>
      <c r="J35" t="str">
        <f t="shared" si="0"/>
        <v>4</v>
      </c>
      <c r="K35">
        <v>3</v>
      </c>
      <c r="L35">
        <f t="shared" si="1"/>
        <v>12</v>
      </c>
    </row>
    <row r="36" spans="1:12" ht="28.8" x14ac:dyDescent="0.25">
      <c r="A36" s="12"/>
      <c r="B36" s="11"/>
      <c r="C36" t="s">
        <v>52</v>
      </c>
      <c r="D36" t="s">
        <v>54</v>
      </c>
      <c r="E36" s="2" t="s">
        <v>60</v>
      </c>
      <c r="F36" s="6">
        <v>43238.764722164349</v>
      </c>
      <c r="G36" s="8" t="s">
        <v>73</v>
      </c>
      <c r="H36">
        <v>27</v>
      </c>
      <c r="I36" t="s">
        <v>62</v>
      </c>
      <c r="J36" t="str">
        <f t="shared" si="0"/>
        <v>4</v>
      </c>
      <c r="K36">
        <v>1</v>
      </c>
      <c r="L36">
        <f t="shared" si="1"/>
        <v>4</v>
      </c>
    </row>
    <row r="37" spans="1:12" x14ac:dyDescent="0.25">
      <c r="A37" s="12"/>
      <c r="B37" s="5"/>
      <c r="E37" s="2"/>
      <c r="F37" s="6"/>
      <c r="G37" s="8"/>
      <c r="J37" t="str">
        <f t="shared" si="0"/>
        <v/>
      </c>
    </row>
    <row r="38" spans="1:12" ht="28.8" x14ac:dyDescent="0.25">
      <c r="A38" s="12"/>
      <c r="B38" s="11" t="s">
        <v>22</v>
      </c>
      <c r="C38" t="s">
        <v>72</v>
      </c>
      <c r="D38" t="s">
        <v>55</v>
      </c>
      <c r="E38" s="2" t="s">
        <v>60</v>
      </c>
      <c r="F38" s="6">
        <v>43239.764722164349</v>
      </c>
      <c r="G38" s="8" t="s">
        <v>73</v>
      </c>
      <c r="H38">
        <v>27</v>
      </c>
      <c r="I38" t="s">
        <v>62</v>
      </c>
      <c r="J38" t="str">
        <f t="shared" si="0"/>
        <v>4</v>
      </c>
      <c r="K38">
        <v>4</v>
      </c>
      <c r="L38">
        <f t="shared" si="1"/>
        <v>16</v>
      </c>
    </row>
    <row r="39" spans="1:12" ht="28.8" x14ac:dyDescent="0.25">
      <c r="A39" s="12"/>
      <c r="B39" s="11"/>
      <c r="C39" t="s">
        <v>72</v>
      </c>
      <c r="D39" t="s">
        <v>56</v>
      </c>
      <c r="E39" s="2" t="s">
        <v>60</v>
      </c>
      <c r="F39" s="6">
        <v>43240.764722164349</v>
      </c>
      <c r="G39" s="8" t="s">
        <v>73</v>
      </c>
      <c r="H39">
        <v>14</v>
      </c>
      <c r="I39" t="s">
        <v>62</v>
      </c>
      <c r="J39" t="str">
        <f t="shared" si="0"/>
        <v>4</v>
      </c>
      <c r="K39">
        <v>1</v>
      </c>
      <c r="L39">
        <f t="shared" si="1"/>
        <v>4</v>
      </c>
    </row>
    <row r="40" spans="1:12" ht="28.8" x14ac:dyDescent="0.25">
      <c r="A40" s="12"/>
      <c r="B40" s="11"/>
      <c r="C40" t="s">
        <v>72</v>
      </c>
      <c r="D40" t="s">
        <v>57</v>
      </c>
      <c r="E40" s="2">
        <v>43104</v>
      </c>
      <c r="F40" s="6">
        <v>43241.764722164349</v>
      </c>
      <c r="G40" s="8" t="s">
        <v>73</v>
      </c>
      <c r="H40">
        <v>14</v>
      </c>
      <c r="I40" t="s">
        <v>62</v>
      </c>
      <c r="J40" t="str">
        <f t="shared" si="0"/>
        <v>4</v>
      </c>
      <c r="K40">
        <v>2</v>
      </c>
      <c r="L40">
        <f t="shared" si="1"/>
        <v>8</v>
      </c>
    </row>
    <row r="41" spans="1:12" x14ac:dyDescent="0.25">
      <c r="B41" s="4"/>
    </row>
    <row r="42" spans="1:12" x14ac:dyDescent="0.25">
      <c r="B42" s="4"/>
    </row>
    <row r="43" spans="1:12" x14ac:dyDescent="0.25">
      <c r="B43" s="4"/>
    </row>
    <row r="44" spans="1:12" x14ac:dyDescent="0.25">
      <c r="B44" s="4"/>
    </row>
    <row r="45" spans="1:12" x14ac:dyDescent="0.25">
      <c r="B45" s="4"/>
    </row>
    <row r="46" spans="1:12" x14ac:dyDescent="0.25">
      <c r="B46" s="4"/>
    </row>
    <row r="47" spans="1:12" x14ac:dyDescent="0.25">
      <c r="B47" s="4"/>
    </row>
    <row r="48" spans="1:12" x14ac:dyDescent="0.25">
      <c r="B48" s="4"/>
    </row>
    <row r="49" spans="2:2" x14ac:dyDescent="0.25">
      <c r="B49" s="4"/>
    </row>
  </sheetData>
  <mergeCells count="10">
    <mergeCell ref="A22:A40"/>
    <mergeCell ref="B22:B26"/>
    <mergeCell ref="B28:B31"/>
    <mergeCell ref="B33:B36"/>
    <mergeCell ref="B38:B40"/>
    <mergeCell ref="A1:L1"/>
    <mergeCell ref="A3:A10"/>
    <mergeCell ref="B7:B10"/>
    <mergeCell ref="A12:A20"/>
    <mergeCell ref="B12:B18"/>
  </mergeCells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答案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2018-09-25T08:44:41Z</dcterms:created>
  <dcterms:modified xsi:type="dcterms:W3CDTF">2024-10-19T07:23:33Z</dcterms:modified>
</cp:coreProperties>
</file>